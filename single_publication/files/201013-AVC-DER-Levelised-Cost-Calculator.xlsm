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D:\Shiv\Documents - Professional\AVC\SET\LCOE tool\"/>
    </mc:Choice>
  </mc:AlternateContent>
  <bookViews>
    <workbookView xWindow="0" yWindow="0" windowWidth="13560" windowHeight="3380" firstSheet="2" activeTab="5"/>
  </bookViews>
  <sheets>
    <sheet name="Title sheet" sheetId="32" r:id="rId1"/>
    <sheet name="How to use" sheetId="55" r:id="rId2"/>
    <sheet name="RE Inputs &amp; Results" sheetId="48" r:id="rId3"/>
    <sheet name="RE LCOE calc" sheetId="53" r:id="rId4"/>
    <sheet name="Reference values" sheetId="62" r:id="rId5"/>
    <sheet name="Storage Inputs &amp; Results" sheetId="59" r:id="rId6"/>
    <sheet name="LCOS calc" sheetId="60" r:id="rId7"/>
    <sheet name="Storage charging cost" sheetId="58" r:id="rId8"/>
    <sheet name="Cost projections" sheetId="57" r:id="rId9"/>
    <sheet name="Storage references" sheetId="65" r:id="rId10"/>
    <sheet name="Results" sheetId="61" state="hidden" r:id="rId11"/>
  </sheets>
  <definedNames>
    <definedName name="Annual_depreciation_aftern1gross">'RE Inputs &amp; Results'!$M$15</definedName>
    <definedName name="Annual_depreciation_aftern1net">'RE Inputs &amp; Results'!$M$17</definedName>
    <definedName name="Annual_depreciation_n1yearsgross">'RE Inputs &amp; Results'!$M$14</definedName>
    <definedName name="Annual_depreciation_n1yearsnet">'RE Inputs &amp; Results'!$M$16</definedName>
    <definedName name="Aux_consumption">'RE Inputs &amp; Results'!$F$18</definedName>
    <definedName name="Bio_calorificvalue">'RE Inputs &amp; Results'!$F$43</definedName>
    <definedName name="Bio_fuelconsumption_kgperkWh">'RE Inputs &amp; Results'!$F$44</definedName>
    <definedName name="Bio_fuelcost">'RE Inputs &amp; Results'!$F$45</definedName>
    <definedName name="Bio_fuelcost_escalation">'RE Inputs &amp; Results'!$F$46</definedName>
    <definedName name="Bio_stationheatrate">'RE Inputs &amp; Results'!$F$42</definedName>
    <definedName name="Bio_workingcapital_fuel">'RE Inputs &amp; Results'!$F$41</definedName>
    <definedName name="Capex_perkW">'RE Inputs &amp; Results'!$F$13</definedName>
    <definedName name="Capitalsubsidy_perkW">'RE Inputs &amp; Results'!$F$14</definedName>
    <definedName name="CUF">'RE Inputs &amp; Results'!$F$17</definedName>
    <definedName name="Debt">'RE Inputs &amp; Results'!$M$13</definedName>
    <definedName name="Depreciation_on_capexpercentage">'RE Inputs &amp; Results'!$F$35</definedName>
    <definedName name="Depreciationrate_n1years">'RE Inputs &amp; Results'!$F$34</definedName>
    <definedName name="Discount_rate">'RE Inputs &amp; Results'!$F$20</definedName>
    <definedName name="Equity">'RE Inputs &amp; Results'!$M$12</definedName>
    <definedName name="Equity_percentage">'RE Inputs &amp; Results'!$F$21</definedName>
    <definedName name="Grid_availability">'RE Inputs &amp; Results'!$F$19</definedName>
    <definedName name="Gross_capex">'RE Inputs &amp; Results'!$M$10</definedName>
    <definedName name="Insurance">'RE Inputs &amp; Results'!$F$28</definedName>
    <definedName name="Interest">'RE Inputs &amp; Results'!$F$25</definedName>
    <definedName name="Interest_working_capital">'RE Inputs &amp; Results'!$F$32</definedName>
    <definedName name="LCOE">'RE LCOE calc'!$F$20</definedName>
    <definedName name="LCOS">'LCOS calc'!$F$108</definedName>
    <definedName name="Loan_tenure">'RE Inputs &amp; Results'!$F$23</definedName>
    <definedName name="Moratorium">'RE Inputs &amp; Results'!$F$24</definedName>
    <definedName name="n1_years">'RE Inputs &amp; Results'!$F$33</definedName>
    <definedName name="Net_capex">'RE Inputs &amp; Results'!$M$11</definedName>
    <definedName name="OandM_escalation">'RE Inputs &amp; Results'!$F$27</definedName>
    <definedName name="OandM_year1">'RE Inputs &amp; Results'!$F$26</definedName>
    <definedName name="Plant_life">'RE Inputs &amp; Results'!$F$16</definedName>
    <definedName name="_xlnm.Print_Area" localSheetId="0">'Title sheet'!$D$1:$M$31</definedName>
    <definedName name="ROE">'RE Inputs &amp; Results'!$F$22</definedName>
    <definedName name="SolarPV_capex_perkW">'Storage Inputs &amp; Results'!$F$29</definedName>
    <definedName name="SolarPV_capitalsubsidy_perkW">'Storage Inputs &amp; Results'!$F$30</definedName>
    <definedName name="SolarPV_CUF">'Storage Inputs &amp; Results'!$F$33</definedName>
    <definedName name="SolarPV_degradation">'RE Inputs &amp; Results'!$F$38</definedName>
    <definedName name="SolarPV_OandM_year1">'Storage Inputs &amp; Results'!$F$34</definedName>
    <definedName name="SolarPV_plant_life">'Storage Inputs &amp; Results'!$F$32</definedName>
    <definedName name="SolarPV_size">'Storage Inputs &amp; Results'!$F$31</definedName>
    <definedName name="Storage_annual_cycles">'Storage Inputs &amp; Results'!$F$56</definedName>
    <definedName name="Storage_annual_depreciation">'Storage Inputs &amp; Results'!$M$19</definedName>
    <definedName name="Storage_base_year">'Storage Inputs &amp; Results'!$F$14</definedName>
    <definedName name="Storage_capacity">'Storage Inputs &amp; Results'!$M$12</definedName>
    <definedName name="Storage_capitalsubsidy_percentage">'Storage Inputs &amp; Results'!$F$49</definedName>
    <definedName name="Storage_charging_cost">'Storage Inputs &amp; Results'!$F$66</definedName>
    <definedName name="Storage_charging_source">'Storage Inputs &amp; Results'!$F$65</definedName>
    <definedName name="Storage_chargingcost_escalation">'Storage Inputs &amp; Results'!$F$67</definedName>
    <definedName name="Storage_current_year">'Storage Inputs &amp; Results'!$F$13</definedName>
    <definedName name="Storage_cycle_degradation">'Storage Inputs &amp; Results'!$F$60</definedName>
    <definedName name="Storage_debt">'Storage Inputs &amp; Results'!$M$18</definedName>
    <definedName name="Storage_depreciation_on_capexpercentage">'Storage Inputs &amp; Results'!$F$26</definedName>
    <definedName name="Storage_depreciationrate_inverter">'Storage Inputs &amp; Results'!$F$44</definedName>
    <definedName name="Storage_depreciationrate_solarPV">'Storage Inputs &amp; Results'!$F$35</definedName>
    <definedName name="Storage_depreciationrate_storage">'Storage Inputs &amp; Results'!$F$64</definedName>
    <definedName name="Storage_discount_rate">'Storage Inputs &amp; Results'!$F$15</definedName>
    <definedName name="Storage_DoD">'Storage Inputs &amp; Results'!$F$55</definedName>
    <definedName name="Storage_duration">'Storage Inputs &amp; Results'!$F$53</definedName>
    <definedName name="Storage_endoflife_capacity">'Storage Inputs &amp; Results'!$F$57</definedName>
    <definedName name="Storage_EPC_capexperkW">'Storage Inputs &amp; Results'!$F$51</definedName>
    <definedName name="Storage_equity">'Storage Inputs &amp; Results'!$M$17</definedName>
    <definedName name="Storage_equity_percentage">'Storage Inputs &amp; Results'!$F$16</definedName>
    <definedName name="Storage_excess_solar">'Storage Inputs &amp; Results'!$F$62</definedName>
    <definedName name="Storage_gross_capex" localSheetId="9">'Storage Inputs &amp; Results'!#REF!</definedName>
    <definedName name="Storage_gross_capex">'Storage Inputs &amp; Results'!#REF!</definedName>
    <definedName name="Storage_insurance">'Storage Inputs &amp; Results'!$F$22</definedName>
    <definedName name="Storage_interest">'Storage Inputs &amp; Results'!$F$20</definedName>
    <definedName name="Storage_interest_workingcap">'Storage Inputs &amp; Results'!$F$25</definedName>
    <definedName name="Storage_inverter_capacity">'Storage Inputs &amp; Results'!$F$40</definedName>
    <definedName name="Storage_inverter_costimprovement">'Storage Inputs &amp; Results'!$F$42</definedName>
    <definedName name="Storage_inverter_replacementyear">'Storage Inputs &amp; Results'!$F$41</definedName>
    <definedName name="Storage_invertercapex_perkW">'Storage Inputs &amp; Results'!$F$39</definedName>
    <definedName name="Storage_life">'Storage Inputs &amp; Results'!$M$13</definedName>
    <definedName name="Storage_life_cycles">'Storage Inputs &amp; Results'!$F$58</definedName>
    <definedName name="Storage_loan_tenure">'Storage Inputs &amp; Results'!$F$18</definedName>
    <definedName name="Storage_module_capexperkWh">'Storage Inputs &amp; Results'!$F$48</definedName>
    <definedName name="Storage_modulecapexperkWh_current">'Storage Inputs &amp; Results'!$F$47</definedName>
    <definedName name="Storage_moratorium">'Storage Inputs &amp; Results'!$F$19</definedName>
    <definedName name="Storage_net_capex">'Storage Inputs &amp; Results'!$M$16</definedName>
    <definedName name="Storage_OandM_escalation">'Storage Inputs &amp; Results'!$F$21</definedName>
    <definedName name="Storage_OandMpower_year1">'Storage Inputs &amp; Results'!$F$43</definedName>
    <definedName name="Storage_OndMenergy_year1">'Storage Inputs &amp; Results'!$F$63</definedName>
    <definedName name="Storage_power_capacity">'Storage Inputs &amp; Results'!$F$52</definedName>
    <definedName name="Storage_rack_capexperkW">'Storage Inputs &amp; Results'!$F$50</definedName>
    <definedName name="Storage_ROE">'Storage Inputs &amp; Results'!$F$17</definedName>
    <definedName name="Storage_roundtripefficiency">'Storage Inputs &amp; Results'!$F$54</definedName>
    <definedName name="Storage_shelf_life">'Storage Inputs &amp; Results'!$F$59</definedName>
    <definedName name="Storage_solarPV_degradation">'Storage Inputs &amp; Results'!$F$36</definedName>
    <definedName name="Storage_technology">'Storage Inputs &amp; Results'!$I$8</definedName>
    <definedName name="Storage_time_degradation">'Storage Inputs &amp; Results'!$F$61</definedName>
    <definedName name="Storage_workingcapital_OandM">'Storage Inputs &amp; Results'!$F$23</definedName>
    <definedName name="Storage_workingcapital_receivables">'Storage Inputs &amp; Results'!$F$24</definedName>
    <definedName name="System_size">'RE Inputs &amp; Results'!$F$15</definedName>
    <definedName name="Technology">'RE Inputs &amp; Results'!$I$8</definedName>
    <definedName name="Workingcapital_OandM">'RE Inputs &amp; Results'!$F$29</definedName>
    <definedName name="Workingcapital_receivables">'RE Inputs &amp; Results'!$F$30</definedName>
    <definedName name="Workingcapital_spares">'RE Inputs &amp; Results'!$F$31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4" i="59" l="1"/>
  <c r="F64" i="59"/>
  <c r="F66" i="59" l="1"/>
  <c r="M11" i="59" l="1"/>
  <c r="F60" i="59"/>
  <c r="F61" i="59"/>
  <c r="M13" i="59"/>
  <c r="M10" i="59" l="1"/>
  <c r="F48" i="59" l="1"/>
  <c r="H37" i="60" l="1"/>
  <c r="I106" i="60" l="1"/>
  <c r="J106" i="60" s="1"/>
  <c r="K106" i="60" s="1"/>
  <c r="L106" i="60" s="1"/>
  <c r="M106" i="60" s="1"/>
  <c r="N106" i="60" s="1"/>
  <c r="O106" i="60" s="1"/>
  <c r="P106" i="60" s="1"/>
  <c r="Q106" i="60" s="1"/>
  <c r="R106" i="60" s="1"/>
  <c r="S106" i="60" s="1"/>
  <c r="T106" i="60" s="1"/>
  <c r="U106" i="60" s="1"/>
  <c r="V106" i="60" s="1"/>
  <c r="W106" i="60" s="1"/>
  <c r="X106" i="60" s="1"/>
  <c r="Y106" i="60" s="1"/>
  <c r="Z106" i="60" s="1"/>
  <c r="AA106" i="60" s="1"/>
  <c r="AB106" i="60" s="1"/>
  <c r="AC106" i="60" s="1"/>
  <c r="AD106" i="60" s="1"/>
  <c r="AE106" i="60" s="1"/>
  <c r="AF106" i="60" s="1"/>
  <c r="H25" i="53" l="1"/>
  <c r="H65" i="60" l="1"/>
  <c r="H52" i="60"/>
  <c r="H64" i="60"/>
  <c r="I64" i="60" s="1"/>
  <c r="J64" i="60" s="1"/>
  <c r="K64" i="60" s="1"/>
  <c r="L64" i="60" s="1"/>
  <c r="M64" i="60" s="1"/>
  <c r="N64" i="60" s="1"/>
  <c r="O64" i="60" s="1"/>
  <c r="P64" i="60" s="1"/>
  <c r="Q64" i="60" s="1"/>
  <c r="R64" i="60" s="1"/>
  <c r="S64" i="60" s="1"/>
  <c r="T64" i="60" s="1"/>
  <c r="U64" i="60" s="1"/>
  <c r="V64" i="60" s="1"/>
  <c r="W64" i="60" s="1"/>
  <c r="X64" i="60" s="1"/>
  <c r="Y64" i="60" s="1"/>
  <c r="Z64" i="60" s="1"/>
  <c r="AA64" i="60" s="1"/>
  <c r="AB64" i="60" s="1"/>
  <c r="AC64" i="60" s="1"/>
  <c r="AD64" i="60" s="1"/>
  <c r="AE64" i="60" s="1"/>
  <c r="AF64" i="60" s="1"/>
  <c r="H36" i="60"/>
  <c r="I36" i="60" s="1"/>
  <c r="J36" i="60" s="1"/>
  <c r="K36" i="60" s="1"/>
  <c r="L36" i="60" s="1"/>
  <c r="M36" i="60" s="1"/>
  <c r="N36" i="60" s="1"/>
  <c r="O36" i="60" s="1"/>
  <c r="P36" i="60" s="1"/>
  <c r="Q36" i="60" s="1"/>
  <c r="R36" i="60" s="1"/>
  <c r="S36" i="60" s="1"/>
  <c r="T36" i="60" s="1"/>
  <c r="U36" i="60" s="1"/>
  <c r="V36" i="60" s="1"/>
  <c r="W36" i="60" s="1"/>
  <c r="X36" i="60" s="1"/>
  <c r="Y36" i="60" s="1"/>
  <c r="Z36" i="60" s="1"/>
  <c r="AA36" i="60" s="1"/>
  <c r="AB36" i="60" s="1"/>
  <c r="AC36" i="60" s="1"/>
  <c r="AD36" i="60" s="1"/>
  <c r="AE36" i="60" s="1"/>
  <c r="AF36" i="60" s="1"/>
  <c r="H6" i="60"/>
  <c r="I6" i="60" l="1"/>
  <c r="J6" i="60" s="1"/>
  <c r="K6" i="60" s="1"/>
  <c r="L6" i="60" s="1"/>
  <c r="M6" i="60" s="1"/>
  <c r="N6" i="60" s="1"/>
  <c r="O6" i="60" s="1"/>
  <c r="P6" i="60" s="1"/>
  <c r="Q6" i="60" s="1"/>
  <c r="R6" i="60" s="1"/>
  <c r="S6" i="60" s="1"/>
  <c r="T6" i="60" s="1"/>
  <c r="U6" i="60" s="1"/>
  <c r="V6" i="60" s="1"/>
  <c r="W6" i="60" s="1"/>
  <c r="X6" i="60" s="1"/>
  <c r="Y6" i="60" s="1"/>
  <c r="Z6" i="60" s="1"/>
  <c r="AA6" i="60" s="1"/>
  <c r="AB6" i="60" s="1"/>
  <c r="AC6" i="60" s="1"/>
  <c r="AD6" i="60" s="1"/>
  <c r="AE6" i="60" s="1"/>
  <c r="AF6" i="60" s="1"/>
  <c r="H66" i="60"/>
  <c r="H67" i="60" s="1"/>
  <c r="H74" i="60" s="1"/>
  <c r="H82" i="60"/>
  <c r="H38" i="60"/>
  <c r="H39" i="60" s="1"/>
  <c r="H68" i="60" l="1"/>
  <c r="H72" i="60" s="1"/>
  <c r="H94" i="60"/>
  <c r="H44" i="60" l="1"/>
  <c r="H42" i="60"/>
  <c r="H43" i="60"/>
  <c r="H45" i="60" s="1"/>
  <c r="H40" i="60"/>
  <c r="H41" i="60" s="1"/>
  <c r="H51" i="60" s="1"/>
  <c r="H6" i="53"/>
  <c r="H7" i="53" s="1"/>
  <c r="M12" i="59"/>
  <c r="I18" i="53"/>
  <c r="J18" i="53" s="1"/>
  <c r="K18" i="53" s="1"/>
  <c r="L18" i="53" s="1"/>
  <c r="M18" i="53" s="1"/>
  <c r="N18" i="53" s="1"/>
  <c r="O18" i="53" s="1"/>
  <c r="P18" i="53" s="1"/>
  <c r="Q18" i="53" s="1"/>
  <c r="R18" i="53" s="1"/>
  <c r="S18" i="53" s="1"/>
  <c r="T18" i="53" s="1"/>
  <c r="U18" i="53" s="1"/>
  <c r="V18" i="53" s="1"/>
  <c r="W18" i="53" s="1"/>
  <c r="X18" i="53" s="1"/>
  <c r="Y18" i="53" s="1"/>
  <c r="Z18" i="53" s="1"/>
  <c r="AA18" i="53" s="1"/>
  <c r="AB18" i="53" s="1"/>
  <c r="AC18" i="53" s="1"/>
  <c r="AD18" i="53" s="1"/>
  <c r="AE18" i="53" s="1"/>
  <c r="AF18" i="53" s="1"/>
  <c r="AG18" i="53" s="1"/>
  <c r="AH18" i="53" s="1"/>
  <c r="AI18" i="53" s="1"/>
  <c r="AJ18" i="53" s="1"/>
  <c r="AK18" i="53" s="1"/>
  <c r="AL18" i="53" s="1"/>
  <c r="AM18" i="53" s="1"/>
  <c r="AN18" i="53" s="1"/>
  <c r="AO18" i="53" s="1"/>
  <c r="AP18" i="53" s="1"/>
  <c r="M11" i="48"/>
  <c r="M10" i="48"/>
  <c r="I3" i="60"/>
  <c r="I37" i="60" s="1"/>
  <c r="I39" i="60" s="1"/>
  <c r="M19" i="59" l="1"/>
  <c r="M16" i="59"/>
  <c r="H7" i="60"/>
  <c r="H95" i="60" s="1"/>
  <c r="I42" i="60"/>
  <c r="M14" i="48"/>
  <c r="M15" i="48"/>
  <c r="M16" i="48"/>
  <c r="M17" i="48"/>
  <c r="H10" i="53"/>
  <c r="H48" i="60"/>
  <c r="H8" i="53"/>
  <c r="H42" i="53"/>
  <c r="H15" i="53"/>
  <c r="I15" i="53" s="1"/>
  <c r="J15" i="53" s="1"/>
  <c r="K15" i="53" s="1"/>
  <c r="L15" i="53" s="1"/>
  <c r="M15" i="53" s="1"/>
  <c r="N15" i="53" s="1"/>
  <c r="O15" i="53" s="1"/>
  <c r="P15" i="53" s="1"/>
  <c r="Q15" i="53" s="1"/>
  <c r="R15" i="53" s="1"/>
  <c r="S15" i="53" s="1"/>
  <c r="T15" i="53" s="1"/>
  <c r="U15" i="53" s="1"/>
  <c r="V15" i="53" s="1"/>
  <c r="W15" i="53" s="1"/>
  <c r="X15" i="53" s="1"/>
  <c r="Y15" i="53" s="1"/>
  <c r="Z15" i="53" s="1"/>
  <c r="AA15" i="53" s="1"/>
  <c r="AB15" i="53" s="1"/>
  <c r="AC15" i="53" s="1"/>
  <c r="AD15" i="53" s="1"/>
  <c r="AE15" i="53" s="1"/>
  <c r="AF15" i="53" s="1"/>
  <c r="AG15" i="53" s="1"/>
  <c r="AH15" i="53" s="1"/>
  <c r="AI15" i="53" s="1"/>
  <c r="AJ15" i="53" s="1"/>
  <c r="AK15" i="53" s="1"/>
  <c r="AL15" i="53" s="1"/>
  <c r="AM15" i="53" s="1"/>
  <c r="AN15" i="53" s="1"/>
  <c r="AO15" i="53" s="1"/>
  <c r="AP15" i="53" s="1"/>
  <c r="I44" i="60"/>
  <c r="I65" i="60"/>
  <c r="I72" i="60" s="1"/>
  <c r="I94" i="60"/>
  <c r="I7" i="60"/>
  <c r="I95" i="60" s="1"/>
  <c r="J3" i="60"/>
  <c r="J37" i="60" s="1"/>
  <c r="J39" i="60" s="1"/>
  <c r="I10" i="60" l="1"/>
  <c r="I9" i="60"/>
  <c r="H8" i="60"/>
  <c r="H10" i="60" s="1"/>
  <c r="H14" i="60" s="1"/>
  <c r="I14" i="60" s="1"/>
  <c r="H103" i="60"/>
  <c r="H24" i="60"/>
  <c r="M14" i="59"/>
  <c r="M15" i="59"/>
  <c r="J42" i="60"/>
  <c r="I42" i="53"/>
  <c r="I8" i="53"/>
  <c r="J8" i="53" s="1"/>
  <c r="K8" i="53" s="1"/>
  <c r="L8" i="53" s="1"/>
  <c r="M8" i="53" s="1"/>
  <c r="N8" i="53" s="1"/>
  <c r="O8" i="53" s="1"/>
  <c r="P8" i="53" s="1"/>
  <c r="Q8" i="53" s="1"/>
  <c r="R8" i="53" s="1"/>
  <c r="S8" i="53" s="1"/>
  <c r="T8" i="53" s="1"/>
  <c r="U8" i="53" s="1"/>
  <c r="V8" i="53" s="1"/>
  <c r="W8" i="53" s="1"/>
  <c r="X8" i="53" s="1"/>
  <c r="Y8" i="53" s="1"/>
  <c r="Z8" i="53" s="1"/>
  <c r="AA8" i="53" s="1"/>
  <c r="AB8" i="53" s="1"/>
  <c r="AC8" i="53" s="1"/>
  <c r="AD8" i="53" s="1"/>
  <c r="AE8" i="53" s="1"/>
  <c r="AF8" i="53" s="1"/>
  <c r="AG8" i="53" s="1"/>
  <c r="AH8" i="53" s="1"/>
  <c r="AI8" i="53" s="1"/>
  <c r="AJ8" i="53" s="1"/>
  <c r="AK8" i="53" s="1"/>
  <c r="AL8" i="53" s="1"/>
  <c r="AM8" i="53" s="1"/>
  <c r="AN8" i="53" s="1"/>
  <c r="AO8" i="53" s="1"/>
  <c r="AP8" i="53" s="1"/>
  <c r="M17" i="59"/>
  <c r="M18" i="59" s="1"/>
  <c r="I40" i="60"/>
  <c r="I41" i="60" s="1"/>
  <c r="I103" i="60"/>
  <c r="I38" i="60"/>
  <c r="I48" i="60"/>
  <c r="J48" i="60"/>
  <c r="J65" i="60"/>
  <c r="J72" i="60" s="1"/>
  <c r="I67" i="60"/>
  <c r="I66" i="60"/>
  <c r="I68" i="60"/>
  <c r="I74" i="60"/>
  <c r="I8" i="60"/>
  <c r="J94" i="60"/>
  <c r="J7" i="60"/>
  <c r="J95" i="60" s="1"/>
  <c r="K3" i="60"/>
  <c r="K37" i="60" s="1"/>
  <c r="K39" i="60" s="1"/>
  <c r="H96" i="60" l="1"/>
  <c r="J10" i="60"/>
  <c r="J9" i="60"/>
  <c r="H9" i="60"/>
  <c r="K42" i="60"/>
  <c r="J14" i="60"/>
  <c r="H99" i="60"/>
  <c r="J103" i="60"/>
  <c r="J74" i="60"/>
  <c r="J44" i="60"/>
  <c r="J38" i="60"/>
  <c r="J40" i="60"/>
  <c r="J41" i="60" s="1"/>
  <c r="K48" i="60"/>
  <c r="K65" i="60"/>
  <c r="K72" i="60" s="1"/>
  <c r="J68" i="60"/>
  <c r="J67" i="60"/>
  <c r="J66" i="60"/>
  <c r="J8" i="60"/>
  <c r="K94" i="60"/>
  <c r="K7" i="60"/>
  <c r="K95" i="60" s="1"/>
  <c r="H11" i="60"/>
  <c r="L3" i="60"/>
  <c r="L37" i="60" s="1"/>
  <c r="L39" i="60" s="1"/>
  <c r="M12" i="48"/>
  <c r="H15" i="60" l="1"/>
  <c r="H16" i="60"/>
  <c r="H13" i="60"/>
  <c r="I13" i="60" s="1"/>
  <c r="J13" i="60" s="1"/>
  <c r="K13" i="60" s="1"/>
  <c r="K9" i="60"/>
  <c r="K10" i="60"/>
  <c r="K11" i="60" s="1"/>
  <c r="K12" i="60" s="1"/>
  <c r="L42" i="60"/>
  <c r="K14" i="60"/>
  <c r="K103" i="60"/>
  <c r="K74" i="60"/>
  <c r="K44" i="60"/>
  <c r="K40" i="60"/>
  <c r="K41" i="60" s="1"/>
  <c r="K38" i="60"/>
  <c r="L48" i="60"/>
  <c r="L65" i="60"/>
  <c r="L72" i="60" s="1"/>
  <c r="K68" i="60"/>
  <c r="K67" i="60"/>
  <c r="K66" i="60"/>
  <c r="H20" i="60"/>
  <c r="I20" i="60"/>
  <c r="J20" i="60"/>
  <c r="K20" i="60"/>
  <c r="K8" i="60"/>
  <c r="L94" i="60"/>
  <c r="L7" i="60"/>
  <c r="L95" i="60" s="1"/>
  <c r="I96" i="60"/>
  <c r="J96" i="60"/>
  <c r="H12" i="60"/>
  <c r="J11" i="60"/>
  <c r="J12" i="60" s="1"/>
  <c r="I11" i="60"/>
  <c r="I12" i="60" s="1"/>
  <c r="H14" i="53"/>
  <c r="I14" i="53"/>
  <c r="K14" i="53"/>
  <c r="J14" i="53"/>
  <c r="M3" i="60"/>
  <c r="M37" i="60" s="1"/>
  <c r="M39" i="60" s="1"/>
  <c r="M13" i="48"/>
  <c r="M14" i="53"/>
  <c r="Q14" i="53"/>
  <c r="U14" i="53"/>
  <c r="Y14" i="53"/>
  <c r="AC14" i="53"/>
  <c r="AG14" i="53"/>
  <c r="AK14" i="53"/>
  <c r="AO14" i="53"/>
  <c r="AL14" i="53"/>
  <c r="O14" i="53"/>
  <c r="W14" i="53"/>
  <c r="AE14" i="53"/>
  <c r="AM14" i="53"/>
  <c r="L14" i="53"/>
  <c r="T14" i="53"/>
  <c r="AB14" i="53"/>
  <c r="AJ14" i="53"/>
  <c r="N14" i="53"/>
  <c r="R14" i="53"/>
  <c r="V14" i="53"/>
  <c r="Z14" i="53"/>
  <c r="AD14" i="53"/>
  <c r="AH14" i="53"/>
  <c r="AP14" i="53"/>
  <c r="S14" i="53"/>
  <c r="AA14" i="53"/>
  <c r="AI14" i="53"/>
  <c r="P14" i="53"/>
  <c r="X14" i="53"/>
  <c r="AF14" i="53"/>
  <c r="AN14" i="53"/>
  <c r="H30" i="60" l="1"/>
  <c r="H31" i="60" s="1"/>
  <c r="I16" i="60"/>
  <c r="H97" i="60"/>
  <c r="I15" i="60"/>
  <c r="H17" i="60"/>
  <c r="M42" i="60"/>
  <c r="L103" i="60"/>
  <c r="L74" i="60"/>
  <c r="L44" i="60"/>
  <c r="L40" i="60"/>
  <c r="L41" i="60" s="1"/>
  <c r="L38" i="60"/>
  <c r="L67" i="60"/>
  <c r="L66" i="60"/>
  <c r="L68" i="60"/>
  <c r="M48" i="60"/>
  <c r="M65" i="60"/>
  <c r="M72" i="60" s="1"/>
  <c r="H23" i="60"/>
  <c r="L8" i="60"/>
  <c r="M94" i="60"/>
  <c r="M7" i="60"/>
  <c r="M95" i="60" s="1"/>
  <c r="K96" i="60"/>
  <c r="H24" i="53"/>
  <c r="N3" i="60"/>
  <c r="N37" i="60" s="1"/>
  <c r="N39" i="60" s="1"/>
  <c r="I97" i="60" l="1"/>
  <c r="J16" i="60"/>
  <c r="I30" i="60"/>
  <c r="I31" i="60" s="1"/>
  <c r="I17" i="60"/>
  <c r="J15" i="60"/>
  <c r="L10" i="60"/>
  <c r="L14" i="60" s="1"/>
  <c r="L9" i="60"/>
  <c r="L13" i="60" s="1"/>
  <c r="N42" i="60"/>
  <c r="M74" i="60"/>
  <c r="M103" i="60"/>
  <c r="M44" i="60"/>
  <c r="M38" i="60"/>
  <c r="M67" i="60"/>
  <c r="M66" i="60"/>
  <c r="M68" i="60"/>
  <c r="N48" i="60"/>
  <c r="N65" i="60"/>
  <c r="N72" i="60" s="1"/>
  <c r="M40" i="60"/>
  <c r="M41" i="60" s="1"/>
  <c r="H26" i="60"/>
  <c r="H25" i="60"/>
  <c r="I23" i="60" s="1"/>
  <c r="M8" i="60"/>
  <c r="M9" i="60" s="1"/>
  <c r="N94" i="60"/>
  <c r="N7" i="60"/>
  <c r="N95" i="60" s="1"/>
  <c r="L96" i="60"/>
  <c r="H9" i="53"/>
  <c r="H11" i="53"/>
  <c r="O3" i="60"/>
  <c r="O37" i="60" s="1"/>
  <c r="O39" i="60" s="1"/>
  <c r="H27" i="53"/>
  <c r="H12" i="53" s="1"/>
  <c r="H26" i="53"/>
  <c r="H31" i="53"/>
  <c r="H34" i="53"/>
  <c r="M10" i="60" l="1"/>
  <c r="M14" i="60" s="1"/>
  <c r="N14" i="60" s="1"/>
  <c r="M13" i="60"/>
  <c r="N10" i="60"/>
  <c r="N9" i="60"/>
  <c r="J17" i="60"/>
  <c r="K15" i="60"/>
  <c r="J30" i="60"/>
  <c r="J31" i="60" s="1"/>
  <c r="J97" i="60"/>
  <c r="K16" i="60"/>
  <c r="L16" i="60" s="1"/>
  <c r="L30" i="60" s="1"/>
  <c r="L31" i="60" s="1"/>
  <c r="N13" i="60"/>
  <c r="O42" i="60"/>
  <c r="L11" i="60"/>
  <c r="L12" i="60" s="1"/>
  <c r="H33" i="53"/>
  <c r="H32" i="53"/>
  <c r="H35" i="53" s="1"/>
  <c r="N103" i="60"/>
  <c r="N38" i="60"/>
  <c r="N40" i="60"/>
  <c r="N41" i="60" s="1"/>
  <c r="N44" i="60"/>
  <c r="N68" i="60"/>
  <c r="N67" i="60"/>
  <c r="N66" i="60"/>
  <c r="O48" i="60"/>
  <c r="O65" i="60"/>
  <c r="O72" i="60" s="1"/>
  <c r="N74" i="60"/>
  <c r="I26" i="60"/>
  <c r="I18" i="60" s="1"/>
  <c r="I32" i="60" s="1"/>
  <c r="I24" i="60"/>
  <c r="H18" i="60"/>
  <c r="H27" i="60"/>
  <c r="M11" i="60"/>
  <c r="N8" i="60"/>
  <c r="O94" i="60"/>
  <c r="O7" i="60"/>
  <c r="O95" i="60" s="1"/>
  <c r="M96" i="60"/>
  <c r="I9" i="53"/>
  <c r="P3" i="60"/>
  <c r="P37" i="60" s="1"/>
  <c r="P39" i="60" s="1"/>
  <c r="I31" i="53"/>
  <c r="I34" i="53"/>
  <c r="L97" i="60" l="1"/>
  <c r="M16" i="60"/>
  <c r="M97" i="60" s="1"/>
  <c r="K17" i="60"/>
  <c r="L15" i="60"/>
  <c r="O13" i="60"/>
  <c r="O9" i="60"/>
  <c r="O10" i="60"/>
  <c r="K30" i="60"/>
  <c r="K31" i="60" s="1"/>
  <c r="K97" i="60"/>
  <c r="L20" i="60"/>
  <c r="P42" i="60"/>
  <c r="O14" i="60"/>
  <c r="H32" i="60"/>
  <c r="H33" i="60" s="1"/>
  <c r="H19" i="60" s="1"/>
  <c r="I33" i="60"/>
  <c r="I19" i="60" s="1"/>
  <c r="H36" i="53"/>
  <c r="H13" i="53" s="1"/>
  <c r="H16" i="53" s="1"/>
  <c r="I33" i="53"/>
  <c r="I32" i="53"/>
  <c r="O103" i="60"/>
  <c r="O38" i="60"/>
  <c r="O44" i="60"/>
  <c r="O68" i="60"/>
  <c r="O67" i="60"/>
  <c r="O66" i="60"/>
  <c r="O40" i="60"/>
  <c r="O41" i="60" s="1"/>
  <c r="O74" i="60"/>
  <c r="P48" i="60"/>
  <c r="P65" i="60"/>
  <c r="P72" i="60" s="1"/>
  <c r="M20" i="60"/>
  <c r="N20" i="60"/>
  <c r="N16" i="60"/>
  <c r="I25" i="60"/>
  <c r="J23" i="60" s="1"/>
  <c r="I27" i="60"/>
  <c r="O8" i="60"/>
  <c r="P94" i="60"/>
  <c r="P7" i="60"/>
  <c r="P95" i="60" s="1"/>
  <c r="N96" i="60"/>
  <c r="M12" i="60"/>
  <c r="N11" i="60"/>
  <c r="N12" i="60" s="1"/>
  <c r="Q3" i="60"/>
  <c r="Q37" i="60" s="1"/>
  <c r="Q39" i="60" s="1"/>
  <c r="J31" i="53"/>
  <c r="J34" i="53"/>
  <c r="M30" i="60" l="1"/>
  <c r="M31" i="60" s="1"/>
  <c r="O11" i="60"/>
  <c r="O12" i="60" s="1"/>
  <c r="L17" i="60"/>
  <c r="M15" i="60"/>
  <c r="Q42" i="60"/>
  <c r="J33" i="53"/>
  <c r="J32" i="53"/>
  <c r="P103" i="60"/>
  <c r="O20" i="60"/>
  <c r="P44" i="60"/>
  <c r="P38" i="60"/>
  <c r="P40" i="60"/>
  <c r="P41" i="60" s="1"/>
  <c r="P68" i="60"/>
  <c r="P67" i="60"/>
  <c r="P66" i="60"/>
  <c r="P74" i="60"/>
  <c r="Q48" i="60"/>
  <c r="Q65" i="60"/>
  <c r="Q72" i="60" s="1"/>
  <c r="N30" i="60"/>
  <c r="N31" i="60" s="1"/>
  <c r="N97" i="60"/>
  <c r="J26" i="60"/>
  <c r="J18" i="60" s="1"/>
  <c r="J32" i="60" s="1"/>
  <c r="J24" i="60"/>
  <c r="J25" i="60" s="1"/>
  <c r="K23" i="60" s="1"/>
  <c r="P8" i="60"/>
  <c r="Q94" i="60"/>
  <c r="Q7" i="60"/>
  <c r="Q95" i="60" s="1"/>
  <c r="O96" i="60"/>
  <c r="R3" i="60"/>
  <c r="R37" i="60" s="1"/>
  <c r="R39" i="60" s="1"/>
  <c r="K31" i="53"/>
  <c r="K34" i="53"/>
  <c r="M17" i="60" l="1"/>
  <c r="N15" i="60"/>
  <c r="N17" i="60" s="1"/>
  <c r="Q103" i="60"/>
  <c r="P10" i="60"/>
  <c r="P11" i="60" s="1"/>
  <c r="P9" i="60"/>
  <c r="R42" i="60"/>
  <c r="J33" i="60"/>
  <c r="J19" i="60" s="1"/>
  <c r="K33" i="53"/>
  <c r="K32" i="53"/>
  <c r="P13" i="60"/>
  <c r="O16" i="60"/>
  <c r="O30" i="60" s="1"/>
  <c r="O31" i="60" s="1"/>
  <c r="Q44" i="60"/>
  <c r="Q67" i="60"/>
  <c r="Q66" i="60"/>
  <c r="Q68" i="60"/>
  <c r="R48" i="60"/>
  <c r="R65" i="60"/>
  <c r="R72" i="60" s="1"/>
  <c r="Q40" i="60"/>
  <c r="Q41" i="60" s="1"/>
  <c r="Q38" i="60"/>
  <c r="Q74" i="60"/>
  <c r="K26" i="60"/>
  <c r="K18" i="60" s="1"/>
  <c r="K32" i="60" s="1"/>
  <c r="K24" i="60"/>
  <c r="J27" i="60"/>
  <c r="Q8" i="60"/>
  <c r="Q9" i="60" s="1"/>
  <c r="R94" i="60"/>
  <c r="R7" i="60"/>
  <c r="R95" i="60" s="1"/>
  <c r="P96" i="60"/>
  <c r="S3" i="60"/>
  <c r="S37" i="60" s="1"/>
  <c r="S39" i="60" s="1"/>
  <c r="L31" i="53"/>
  <c r="L34" i="53"/>
  <c r="O15" i="60" l="1"/>
  <c r="O17" i="60" s="1"/>
  <c r="P14" i="60"/>
  <c r="Q10" i="60"/>
  <c r="Q11" i="60" s="1"/>
  <c r="Q20" i="60" s="1"/>
  <c r="P20" i="60"/>
  <c r="P12" i="60"/>
  <c r="S42" i="60"/>
  <c r="K33" i="60"/>
  <c r="K19" i="60" s="1"/>
  <c r="L33" i="53"/>
  <c r="L32" i="53"/>
  <c r="R103" i="60"/>
  <c r="O97" i="60"/>
  <c r="P16" i="60"/>
  <c r="P30" i="60" s="1"/>
  <c r="P31" i="60" s="1"/>
  <c r="P15" i="60"/>
  <c r="P17" i="60" s="1"/>
  <c r="R38" i="60"/>
  <c r="R40" i="60"/>
  <c r="R41" i="60" s="1"/>
  <c r="R74" i="60"/>
  <c r="R44" i="60"/>
  <c r="S48" i="60"/>
  <c r="S65" i="60"/>
  <c r="S72" i="60" s="1"/>
  <c r="R68" i="60"/>
  <c r="R67" i="60"/>
  <c r="R66" i="60"/>
  <c r="K25" i="60"/>
  <c r="L23" i="60" s="1"/>
  <c r="K27" i="60"/>
  <c r="Q13" i="60"/>
  <c r="R8" i="60"/>
  <c r="R10" i="60" s="1"/>
  <c r="S94" i="60"/>
  <c r="S7" i="60"/>
  <c r="S95" i="60" s="1"/>
  <c r="Q96" i="60"/>
  <c r="T3" i="60"/>
  <c r="T37" i="60" s="1"/>
  <c r="T39" i="60" s="1"/>
  <c r="M31" i="53"/>
  <c r="M34" i="53"/>
  <c r="Q14" i="60" l="1"/>
  <c r="R9" i="60"/>
  <c r="R13" i="60" s="1"/>
  <c r="R14" i="60"/>
  <c r="M33" i="53"/>
  <c r="M32" i="53"/>
  <c r="S103" i="60"/>
  <c r="P97" i="60"/>
  <c r="Q15" i="60"/>
  <c r="Q17" i="60" s="1"/>
  <c r="S74" i="60"/>
  <c r="S40" i="60"/>
  <c r="S41" i="60" s="1"/>
  <c r="S38" i="60"/>
  <c r="S44" i="60"/>
  <c r="S68" i="60"/>
  <c r="S67" i="60"/>
  <c r="S66" i="60"/>
  <c r="T65" i="60"/>
  <c r="T72" i="60" s="1"/>
  <c r="L26" i="60"/>
  <c r="L18" i="60" s="1"/>
  <c r="L32" i="60" s="1"/>
  <c r="L24" i="60"/>
  <c r="Q16" i="60"/>
  <c r="Q97" i="60" s="1"/>
  <c r="S8" i="60"/>
  <c r="S9" i="60" s="1"/>
  <c r="T94" i="60"/>
  <c r="T7" i="60"/>
  <c r="T95" i="60" s="1"/>
  <c r="Q12" i="60"/>
  <c r="R96" i="60"/>
  <c r="U3" i="60"/>
  <c r="U37" i="60" s="1"/>
  <c r="N31" i="53"/>
  <c r="N34" i="53"/>
  <c r="S10" i="60" l="1"/>
  <c r="S11" i="60" s="1"/>
  <c r="S12" i="60" s="1"/>
  <c r="S13" i="60"/>
  <c r="L33" i="60"/>
  <c r="L19" i="60" s="1"/>
  <c r="N33" i="53"/>
  <c r="N32" i="53"/>
  <c r="T103" i="60"/>
  <c r="T38" i="60"/>
  <c r="T42" i="60" s="1"/>
  <c r="U65" i="60"/>
  <c r="U72" i="60" s="1"/>
  <c r="T67" i="60"/>
  <c r="T68" i="60"/>
  <c r="T66" i="60"/>
  <c r="T74" i="60"/>
  <c r="R15" i="60"/>
  <c r="R17" i="60" s="1"/>
  <c r="Q30" i="60"/>
  <c r="Q31" i="60" s="1"/>
  <c r="L25" i="60"/>
  <c r="M23" i="60" s="1"/>
  <c r="L27" i="60"/>
  <c r="R16" i="60"/>
  <c r="R97" i="60" s="1"/>
  <c r="T8" i="60"/>
  <c r="T10" i="60" s="1"/>
  <c r="U94" i="60"/>
  <c r="U7" i="60"/>
  <c r="U95" i="60" s="1"/>
  <c r="S96" i="60"/>
  <c r="R11" i="60"/>
  <c r="V3" i="60"/>
  <c r="V37" i="60" s="1"/>
  <c r="V39" i="60" s="1"/>
  <c r="O31" i="53"/>
  <c r="O34" i="53"/>
  <c r="S14" i="60" l="1"/>
  <c r="T14" i="60" s="1"/>
  <c r="U14" i="60" s="1"/>
  <c r="U10" i="60"/>
  <c r="U9" i="60"/>
  <c r="T11" i="60"/>
  <c r="T12" i="60" s="1"/>
  <c r="T9" i="60"/>
  <c r="T13" i="60" s="1"/>
  <c r="U13" i="60" s="1"/>
  <c r="T40" i="60"/>
  <c r="T44" i="60"/>
  <c r="U74" i="60"/>
  <c r="O33" i="53"/>
  <c r="O32" i="53"/>
  <c r="U103" i="60"/>
  <c r="U67" i="60"/>
  <c r="U66" i="60"/>
  <c r="U68" i="60"/>
  <c r="V38" i="60"/>
  <c r="V65" i="60"/>
  <c r="U38" i="60"/>
  <c r="U39" i="60" s="1"/>
  <c r="S15" i="60"/>
  <c r="S17" i="60" s="1"/>
  <c r="R20" i="60"/>
  <c r="S20" i="60"/>
  <c r="T20" i="60"/>
  <c r="S16" i="60"/>
  <c r="S97" i="60" s="1"/>
  <c r="R30" i="60"/>
  <c r="R31" i="60" s="1"/>
  <c r="M24" i="60"/>
  <c r="M26" i="60"/>
  <c r="M18" i="60" s="1"/>
  <c r="M32" i="60" s="1"/>
  <c r="U8" i="60"/>
  <c r="V94" i="60"/>
  <c r="V7" i="60"/>
  <c r="V95" i="60" s="1"/>
  <c r="T96" i="60"/>
  <c r="R12" i="60"/>
  <c r="W3" i="60"/>
  <c r="W37" i="60" s="1"/>
  <c r="W39" i="60" s="1"/>
  <c r="P31" i="53"/>
  <c r="P34" i="53"/>
  <c r="V10" i="60" l="1"/>
  <c r="V9" i="60"/>
  <c r="V13" i="60"/>
  <c r="V14" i="60"/>
  <c r="U44" i="60"/>
  <c r="V44" i="60" s="1"/>
  <c r="U42" i="60"/>
  <c r="V42" i="60" s="1"/>
  <c r="W42" i="60" s="1"/>
  <c r="T41" i="60"/>
  <c r="T48" i="60"/>
  <c r="V74" i="60"/>
  <c r="V72" i="60"/>
  <c r="M33" i="60"/>
  <c r="M19" i="60" s="1"/>
  <c r="U11" i="60"/>
  <c r="P33" i="53"/>
  <c r="P32" i="53"/>
  <c r="V103" i="60"/>
  <c r="U40" i="60"/>
  <c r="U41" i="60" s="1"/>
  <c r="V40" i="60"/>
  <c r="V41" i="60" s="1"/>
  <c r="V68" i="60"/>
  <c r="V67" i="60"/>
  <c r="V66" i="60"/>
  <c r="W38" i="60"/>
  <c r="W65" i="60"/>
  <c r="T15" i="60"/>
  <c r="T17" i="60" s="1"/>
  <c r="M27" i="60"/>
  <c r="T16" i="60"/>
  <c r="T97" i="60" s="1"/>
  <c r="S30" i="60"/>
  <c r="S31" i="60" s="1"/>
  <c r="M25" i="60"/>
  <c r="N23" i="60" s="1"/>
  <c r="V8" i="60"/>
  <c r="W94" i="60"/>
  <c r="W7" i="60"/>
  <c r="W95" i="60" s="1"/>
  <c r="U96" i="60"/>
  <c r="X3" i="60"/>
  <c r="X37" i="60" s="1"/>
  <c r="X39" i="60" s="1"/>
  <c r="Q31" i="53"/>
  <c r="Q34" i="53"/>
  <c r="V48" i="60" l="1"/>
  <c r="X42" i="60"/>
  <c r="W72" i="60"/>
  <c r="U48" i="60"/>
  <c r="U12" i="60"/>
  <c r="U20" i="60"/>
  <c r="Q33" i="53"/>
  <c r="Q32" i="53"/>
  <c r="W103" i="60"/>
  <c r="W40" i="60"/>
  <c r="W41" i="60" s="1"/>
  <c r="W44" i="60"/>
  <c r="W48" i="60"/>
  <c r="X48" i="60"/>
  <c r="X65" i="60"/>
  <c r="W68" i="60"/>
  <c r="W67" i="60"/>
  <c r="W66" i="60"/>
  <c r="W74" i="60"/>
  <c r="U15" i="60"/>
  <c r="U17" i="60" s="1"/>
  <c r="N24" i="60"/>
  <c r="N26" i="60"/>
  <c r="N18" i="60" s="1"/>
  <c r="N32" i="60" s="1"/>
  <c r="T30" i="60"/>
  <c r="T31" i="60" s="1"/>
  <c r="U16" i="60"/>
  <c r="U97" i="60" s="1"/>
  <c r="W8" i="60"/>
  <c r="W9" i="60" s="1"/>
  <c r="W13" i="60" s="1"/>
  <c r="X94" i="60"/>
  <c r="X7" i="60"/>
  <c r="X95" i="60" s="1"/>
  <c r="V96" i="60"/>
  <c r="V11" i="60"/>
  <c r="Y3" i="60"/>
  <c r="Y37" i="60" s="1"/>
  <c r="Y39" i="60" s="1"/>
  <c r="R31" i="53"/>
  <c r="R34" i="53"/>
  <c r="W10" i="60" l="1"/>
  <c r="W14" i="60" s="1"/>
  <c r="Y42" i="60"/>
  <c r="X72" i="60"/>
  <c r="N33" i="60"/>
  <c r="N19" i="60" s="1"/>
  <c r="R33" i="53"/>
  <c r="R32" i="53"/>
  <c r="X74" i="60"/>
  <c r="X103" i="60"/>
  <c r="V12" i="60"/>
  <c r="V20" i="60"/>
  <c r="X40" i="60"/>
  <c r="X41" i="60" s="1"/>
  <c r="X38" i="60"/>
  <c r="X44" i="60"/>
  <c r="X66" i="60"/>
  <c r="X68" i="60"/>
  <c r="X67" i="60"/>
  <c r="Y48" i="60"/>
  <c r="Y65" i="60"/>
  <c r="V15" i="60"/>
  <c r="V17" i="60" s="1"/>
  <c r="U30" i="60"/>
  <c r="U31" i="60" s="1"/>
  <c r="V16" i="60"/>
  <c r="N25" i="60"/>
  <c r="O23" i="60" s="1"/>
  <c r="N27" i="60"/>
  <c r="X8" i="60"/>
  <c r="X10" i="60" s="1"/>
  <c r="Y94" i="60"/>
  <c r="Y7" i="60"/>
  <c r="Y95" i="60" s="1"/>
  <c r="W96" i="60"/>
  <c r="Z3" i="60"/>
  <c r="Z37" i="60" s="1"/>
  <c r="Z39" i="60" s="1"/>
  <c r="S31" i="53"/>
  <c r="S34" i="53"/>
  <c r="Z42" i="60" l="1"/>
  <c r="W11" i="60"/>
  <c r="W20" i="60" s="1"/>
  <c r="Y10" i="60"/>
  <c r="Y9" i="60"/>
  <c r="X9" i="60"/>
  <c r="X13" i="60" s="1"/>
  <c r="Y13" i="60" s="1"/>
  <c r="Y72" i="60"/>
  <c r="Y40" i="60"/>
  <c r="Y41" i="60" s="1"/>
  <c r="S33" i="53"/>
  <c r="S32" i="53"/>
  <c r="X14" i="60"/>
  <c r="Y14" i="60" s="1"/>
  <c r="Y103" i="60"/>
  <c r="Y44" i="60"/>
  <c r="Y67" i="60"/>
  <c r="Y66" i="60"/>
  <c r="Y68" i="60"/>
  <c r="Z48" i="60"/>
  <c r="Z65" i="60"/>
  <c r="V30" i="60"/>
  <c r="V31" i="60" s="1"/>
  <c r="V97" i="60"/>
  <c r="Y38" i="60"/>
  <c r="Y74" i="60"/>
  <c r="W15" i="60"/>
  <c r="W17" i="60" s="1"/>
  <c r="O24" i="60"/>
  <c r="O25" i="60" s="1"/>
  <c r="P23" i="60" s="1"/>
  <c r="O26" i="60"/>
  <c r="O18" i="60" s="1"/>
  <c r="O32" i="60" s="1"/>
  <c r="W16" i="60"/>
  <c r="W97" i="60" s="1"/>
  <c r="Y8" i="60"/>
  <c r="Z94" i="60"/>
  <c r="Z7" i="60"/>
  <c r="Z95" i="60" s="1"/>
  <c r="X96" i="60"/>
  <c r="W12" i="60"/>
  <c r="AA3" i="60"/>
  <c r="AA37" i="60" s="1"/>
  <c r="T31" i="53"/>
  <c r="T34" i="53"/>
  <c r="AA42" i="60" l="1"/>
  <c r="AA39" i="60"/>
  <c r="Z74" i="60"/>
  <c r="X11" i="60"/>
  <c r="X12" i="60" s="1"/>
  <c r="Z72" i="60"/>
  <c r="O33" i="60"/>
  <c r="O19" i="60" s="1"/>
  <c r="T33" i="53"/>
  <c r="T32" i="53"/>
  <c r="Z38" i="60"/>
  <c r="Z103" i="60"/>
  <c r="Z40" i="60"/>
  <c r="Z41" i="60" s="1"/>
  <c r="Z44" i="60"/>
  <c r="X15" i="60"/>
  <c r="X17" i="60" s="1"/>
  <c r="Z68" i="60"/>
  <c r="Z67" i="60"/>
  <c r="Z66" i="60"/>
  <c r="AA48" i="60"/>
  <c r="AA65" i="60"/>
  <c r="O27" i="60"/>
  <c r="W30" i="60"/>
  <c r="W31" i="60" s="1"/>
  <c r="X16" i="60"/>
  <c r="X97" i="60" s="1"/>
  <c r="P24" i="60"/>
  <c r="P25" i="60" s="1"/>
  <c r="Q23" i="60" s="1"/>
  <c r="P26" i="60"/>
  <c r="P18" i="60" s="1"/>
  <c r="P32" i="60" s="1"/>
  <c r="Z8" i="60"/>
  <c r="AA94" i="60"/>
  <c r="AA7" i="60"/>
  <c r="AA95" i="60" s="1"/>
  <c r="Y96" i="60"/>
  <c r="Y11" i="60"/>
  <c r="Y12" i="60" s="1"/>
  <c r="AB3" i="60"/>
  <c r="AB37" i="60" s="1"/>
  <c r="U31" i="53"/>
  <c r="U34" i="53"/>
  <c r="AB42" i="60" l="1"/>
  <c r="AB39" i="60"/>
  <c r="Z10" i="60"/>
  <c r="Z9" i="60"/>
  <c r="Z13" i="60" s="1"/>
  <c r="AA13" i="60" s="1"/>
  <c r="AA9" i="60"/>
  <c r="AA10" i="60"/>
  <c r="X20" i="60"/>
  <c r="AA74" i="60"/>
  <c r="Y20" i="60"/>
  <c r="AA72" i="60"/>
  <c r="P33" i="60"/>
  <c r="P19" i="60" s="1"/>
  <c r="U33" i="53"/>
  <c r="U32" i="53"/>
  <c r="AA103" i="60"/>
  <c r="AA44" i="60"/>
  <c r="AA38" i="60"/>
  <c r="AB48" i="60"/>
  <c r="AB65" i="60"/>
  <c r="Y15" i="60"/>
  <c r="Y17" i="60" s="1"/>
  <c r="AA40" i="60"/>
  <c r="AA41" i="60" s="1"/>
  <c r="AA68" i="60"/>
  <c r="AA67" i="60"/>
  <c r="AA66" i="60"/>
  <c r="Q24" i="60"/>
  <c r="Q25" i="60" s="1"/>
  <c r="R23" i="60" s="1"/>
  <c r="R24" i="60" s="1"/>
  <c r="Q26" i="60"/>
  <c r="Q18" i="60" s="1"/>
  <c r="Q32" i="60" s="1"/>
  <c r="P27" i="60"/>
  <c r="X30" i="60"/>
  <c r="X31" i="60" s="1"/>
  <c r="Y16" i="60"/>
  <c r="Z14" i="60"/>
  <c r="AA14" i="60" s="1"/>
  <c r="AA11" i="60"/>
  <c r="AA12" i="60" s="1"/>
  <c r="AA8" i="60"/>
  <c r="AB94" i="60"/>
  <c r="AB7" i="60"/>
  <c r="AB95" i="60" s="1"/>
  <c r="Z96" i="60"/>
  <c r="AC3" i="60"/>
  <c r="AC37" i="60" s="1"/>
  <c r="V31" i="53"/>
  <c r="V34" i="53"/>
  <c r="AC42" i="60" l="1"/>
  <c r="AC39" i="60"/>
  <c r="AB72" i="60"/>
  <c r="Z11" i="60"/>
  <c r="Z12" i="60" s="1"/>
  <c r="Q33" i="60"/>
  <c r="Q19" i="60" s="1"/>
  <c r="V33" i="53"/>
  <c r="V32" i="53"/>
  <c r="AB103" i="60"/>
  <c r="AB44" i="60"/>
  <c r="AB40" i="60"/>
  <c r="AB41" i="60" s="1"/>
  <c r="AB38" i="60"/>
  <c r="Y30" i="60"/>
  <c r="Y31" i="60" s="1"/>
  <c r="Y97" i="60"/>
  <c r="AB67" i="60"/>
  <c r="AB68" i="60"/>
  <c r="AB66" i="60"/>
  <c r="AC48" i="60"/>
  <c r="AC65" i="60"/>
  <c r="AB74" i="60"/>
  <c r="Z16" i="60"/>
  <c r="R26" i="60"/>
  <c r="R25" i="60"/>
  <c r="S23" i="60" s="1"/>
  <c r="Q27" i="60"/>
  <c r="Z20" i="60"/>
  <c r="Z15" i="60"/>
  <c r="Z17" i="60" s="1"/>
  <c r="AB8" i="60"/>
  <c r="AC94" i="60"/>
  <c r="AC7" i="60"/>
  <c r="AC95" i="60" s="1"/>
  <c r="AA96" i="60"/>
  <c r="AD3" i="60"/>
  <c r="AD37" i="60" s="1"/>
  <c r="W31" i="53"/>
  <c r="W34" i="53"/>
  <c r="AD42" i="60" l="1"/>
  <c r="AD39" i="60"/>
  <c r="AC10" i="60"/>
  <c r="AC9" i="60"/>
  <c r="AB10" i="60"/>
  <c r="AB14" i="60" s="1"/>
  <c r="AC14" i="60" s="1"/>
  <c r="AB9" i="60"/>
  <c r="AB13" i="60" s="1"/>
  <c r="AC13" i="60" s="1"/>
  <c r="AA20" i="60"/>
  <c r="AC72" i="60"/>
  <c r="W33" i="53"/>
  <c r="W32" i="53"/>
  <c r="AC103" i="60"/>
  <c r="AD48" i="60"/>
  <c r="AD65" i="60"/>
  <c r="AC44" i="60"/>
  <c r="AC74" i="60"/>
  <c r="Z30" i="60"/>
  <c r="Z31" i="60" s="1"/>
  <c r="Z97" i="60"/>
  <c r="AC38" i="60"/>
  <c r="AC40" i="60"/>
  <c r="AC41" i="60" s="1"/>
  <c r="AC67" i="60"/>
  <c r="AC66" i="60"/>
  <c r="AC68" i="60"/>
  <c r="AA16" i="60"/>
  <c r="S24" i="60"/>
  <c r="S25" i="60" s="1"/>
  <c r="T23" i="60" s="1"/>
  <c r="S26" i="60"/>
  <c r="S18" i="60" s="1"/>
  <c r="S32" i="60" s="1"/>
  <c r="R18" i="60"/>
  <c r="R32" i="60" s="1"/>
  <c r="R27" i="60"/>
  <c r="AA15" i="60"/>
  <c r="AA17" i="60" s="1"/>
  <c r="AC8" i="60"/>
  <c r="AD94" i="60"/>
  <c r="AD7" i="60"/>
  <c r="AD95" i="60" s="1"/>
  <c r="AB96" i="60"/>
  <c r="AE3" i="60"/>
  <c r="AE37" i="60" s="1"/>
  <c r="X31" i="53"/>
  <c r="X34" i="53"/>
  <c r="AE42" i="60" l="1"/>
  <c r="AE39" i="60"/>
  <c r="AB11" i="60"/>
  <c r="AB20" i="60" s="1"/>
  <c r="AD72" i="60"/>
  <c r="R33" i="60"/>
  <c r="R19" i="60" s="1"/>
  <c r="S33" i="60"/>
  <c r="S19" i="60" s="1"/>
  <c r="X33" i="53"/>
  <c r="X32" i="53"/>
  <c r="AD103" i="60"/>
  <c r="AD38" i="60"/>
  <c r="AD44" i="60"/>
  <c r="AD74" i="60"/>
  <c r="AE48" i="60"/>
  <c r="AE65" i="60"/>
  <c r="AA30" i="60"/>
  <c r="AA31" i="60" s="1"/>
  <c r="AA97" i="60"/>
  <c r="AD68" i="60"/>
  <c r="AD67" i="60"/>
  <c r="AD66" i="60"/>
  <c r="AD40" i="60"/>
  <c r="AD41" i="60" s="1"/>
  <c r="AB15" i="60"/>
  <c r="AB17" i="60" s="1"/>
  <c r="S27" i="60"/>
  <c r="T24" i="60"/>
  <c r="T25" i="60" s="1"/>
  <c r="U23" i="60" s="1"/>
  <c r="T26" i="60"/>
  <c r="T18" i="60" s="1"/>
  <c r="T32" i="60" s="1"/>
  <c r="AB16" i="60"/>
  <c r="AB97" i="60" s="1"/>
  <c r="AD8" i="60"/>
  <c r="AD9" i="60" s="1"/>
  <c r="AD13" i="60" s="1"/>
  <c r="AE94" i="60"/>
  <c r="AE7" i="60"/>
  <c r="AE95" i="60" s="1"/>
  <c r="AC96" i="60"/>
  <c r="AC11" i="60"/>
  <c r="AC12" i="60" s="1"/>
  <c r="AF3" i="60"/>
  <c r="AF37" i="60" s="1"/>
  <c r="AF39" i="60" s="1"/>
  <c r="Y31" i="53"/>
  <c r="Y34" i="53"/>
  <c r="AD10" i="60" l="1"/>
  <c r="AD14" i="60" s="1"/>
  <c r="AE14" i="60" s="1"/>
  <c r="AB12" i="60"/>
  <c r="AE10" i="60"/>
  <c r="AE11" i="60" s="1"/>
  <c r="AE12" i="60" s="1"/>
  <c r="AE9" i="60"/>
  <c r="AE72" i="60"/>
  <c r="AE13" i="60"/>
  <c r="T33" i="60"/>
  <c r="T19" i="60" s="1"/>
  <c r="Y33" i="53"/>
  <c r="Y32" i="53"/>
  <c r="AE103" i="60"/>
  <c r="AE44" i="60"/>
  <c r="AC20" i="60"/>
  <c r="AE74" i="60"/>
  <c r="AE38" i="60"/>
  <c r="AF65" i="60"/>
  <c r="AE40" i="60"/>
  <c r="AE41" i="60" s="1"/>
  <c r="AE68" i="60"/>
  <c r="AE67" i="60"/>
  <c r="AE66" i="60"/>
  <c r="U24" i="60"/>
  <c r="U26" i="60"/>
  <c r="U18" i="60" s="1"/>
  <c r="U32" i="60" s="1"/>
  <c r="T27" i="60"/>
  <c r="AC16" i="60"/>
  <c r="AC97" i="60" s="1"/>
  <c r="AB30" i="60"/>
  <c r="AB31" i="60" s="1"/>
  <c r="AC15" i="60"/>
  <c r="AE8" i="60"/>
  <c r="AF94" i="60"/>
  <c r="AF7" i="60"/>
  <c r="AF95" i="60" s="1"/>
  <c r="AD96" i="60"/>
  <c r="Z31" i="53"/>
  <c r="Z34" i="53"/>
  <c r="AD11" i="60" l="1"/>
  <c r="AD12" i="60" s="1"/>
  <c r="AF72" i="60"/>
  <c r="U33" i="60"/>
  <c r="U19" i="60" s="1"/>
  <c r="Z33" i="53"/>
  <c r="Z32" i="53"/>
  <c r="AF103" i="60"/>
  <c r="AF38" i="60"/>
  <c r="AF42" i="60" s="1"/>
  <c r="AF66" i="60"/>
  <c r="AF68" i="60"/>
  <c r="AF67" i="60"/>
  <c r="AF74" i="60"/>
  <c r="U25" i="60"/>
  <c r="V23" i="60" s="1"/>
  <c r="U27" i="60"/>
  <c r="AC30" i="60"/>
  <c r="AC31" i="60" s="1"/>
  <c r="AD16" i="60"/>
  <c r="AD97" i="60" s="1"/>
  <c r="AC17" i="60"/>
  <c r="AD15" i="60"/>
  <c r="AF8" i="60"/>
  <c r="AE96" i="60"/>
  <c r="AA31" i="53"/>
  <c r="AA34" i="53"/>
  <c r="AD20" i="60" l="1"/>
  <c r="AE20" i="60"/>
  <c r="AF10" i="60"/>
  <c r="AF11" i="60" s="1"/>
  <c r="AF9" i="60"/>
  <c r="AF13" i="60" s="1"/>
  <c r="AF40" i="60"/>
  <c r="AF44" i="60"/>
  <c r="AA33" i="53"/>
  <c r="AA32" i="53"/>
  <c r="V24" i="60"/>
  <c r="V25" i="60" s="1"/>
  <c r="W23" i="60" s="1"/>
  <c r="W24" i="60" s="1"/>
  <c r="V26" i="60"/>
  <c r="V18" i="60" s="1"/>
  <c r="V32" i="60" s="1"/>
  <c r="AD30" i="60"/>
  <c r="AD31" i="60" s="1"/>
  <c r="AE16" i="60"/>
  <c r="AE97" i="60" s="1"/>
  <c r="AD17" i="60"/>
  <c r="AE15" i="60"/>
  <c r="AF96" i="60"/>
  <c r="AB31" i="53"/>
  <c r="AB34" i="53"/>
  <c r="AF14" i="60" l="1"/>
  <c r="AF12" i="60"/>
  <c r="AF20" i="60"/>
  <c r="AF41" i="60"/>
  <c r="AF48" i="60"/>
  <c r="V33" i="60"/>
  <c r="V19" i="60" s="1"/>
  <c r="AB33" i="53"/>
  <c r="AB32" i="53"/>
  <c r="W25" i="60"/>
  <c r="X23" i="60" s="1"/>
  <c r="W26" i="60"/>
  <c r="V27" i="60"/>
  <c r="AE30" i="60"/>
  <c r="AE31" i="60" s="1"/>
  <c r="AF16" i="60"/>
  <c r="AE17" i="60"/>
  <c r="AF15" i="60"/>
  <c r="AF17" i="60" s="1"/>
  <c r="AC31" i="53"/>
  <c r="AC34" i="53"/>
  <c r="AC33" i="53" l="1"/>
  <c r="AC32" i="53"/>
  <c r="AF30" i="60"/>
  <c r="AF31" i="60" s="1"/>
  <c r="AF97" i="60"/>
  <c r="W18" i="60"/>
  <c r="W32" i="60" s="1"/>
  <c r="W27" i="60"/>
  <c r="X26" i="60"/>
  <c r="X18" i="60" s="1"/>
  <c r="X32" i="60" s="1"/>
  <c r="X24" i="60"/>
  <c r="AD31" i="53"/>
  <c r="AD34" i="53"/>
  <c r="X33" i="60" l="1"/>
  <c r="X19" i="60" s="1"/>
  <c r="W33" i="60"/>
  <c r="W19" i="60" s="1"/>
  <c r="AD33" i="53"/>
  <c r="AD32" i="53"/>
  <c r="X27" i="60"/>
  <c r="X25" i="60"/>
  <c r="Y23" i="60" s="1"/>
  <c r="AE31" i="53"/>
  <c r="AE34" i="53"/>
  <c r="AE33" i="53" l="1"/>
  <c r="AE32" i="53"/>
  <c r="Y24" i="60"/>
  <c r="Y26" i="60"/>
  <c r="Y18" i="60" s="1"/>
  <c r="Y32" i="60" s="1"/>
  <c r="AF31" i="53"/>
  <c r="AF34" i="53"/>
  <c r="Y33" i="60" l="1"/>
  <c r="Y19" i="60" s="1"/>
  <c r="AF33" i="53"/>
  <c r="AF32" i="53"/>
  <c r="Y27" i="60"/>
  <c r="Y25" i="60"/>
  <c r="Z23" i="60" s="1"/>
  <c r="AG31" i="53"/>
  <c r="AG34" i="53"/>
  <c r="AG33" i="53" l="1"/>
  <c r="AG32" i="53"/>
  <c r="Z24" i="60"/>
  <c r="Z25" i="60" s="1"/>
  <c r="AA23" i="60" s="1"/>
  <c r="Z26" i="60"/>
  <c r="Z18" i="60" s="1"/>
  <c r="Z32" i="60" s="1"/>
  <c r="AH31" i="53"/>
  <c r="AH34" i="53"/>
  <c r="H41" i="53"/>
  <c r="I41" i="53" s="1"/>
  <c r="J41" i="53" s="1"/>
  <c r="K41" i="53" s="1"/>
  <c r="L41" i="53" s="1"/>
  <c r="M41" i="53" s="1"/>
  <c r="N41" i="53" s="1"/>
  <c r="O41" i="53" s="1"/>
  <c r="P41" i="53" s="1"/>
  <c r="Q41" i="53" s="1"/>
  <c r="R41" i="53" s="1"/>
  <c r="S41" i="53" s="1"/>
  <c r="T41" i="53" s="1"/>
  <c r="U41" i="53" s="1"/>
  <c r="V41" i="53" s="1"/>
  <c r="W41" i="53" s="1"/>
  <c r="X41" i="53" s="1"/>
  <c r="Y41" i="53" s="1"/>
  <c r="Z41" i="53" s="1"/>
  <c r="AA41" i="53" s="1"/>
  <c r="AB41" i="53" s="1"/>
  <c r="AC41" i="53" s="1"/>
  <c r="AD41" i="53" s="1"/>
  <c r="AE41" i="53" s="1"/>
  <c r="AF41" i="53" s="1"/>
  <c r="AG41" i="53" s="1"/>
  <c r="AH41" i="53" s="1"/>
  <c r="AI41" i="53" s="1"/>
  <c r="AJ41" i="53" s="1"/>
  <c r="AK41" i="53" s="1"/>
  <c r="AL41" i="53" s="1"/>
  <c r="AM41" i="53" s="1"/>
  <c r="AN41" i="53" s="1"/>
  <c r="AO41" i="53" s="1"/>
  <c r="AP41" i="53" s="1"/>
  <c r="I3" i="53"/>
  <c r="I10" i="53" s="1"/>
  <c r="J42" i="53" s="1"/>
  <c r="Z33" i="60" l="1"/>
  <c r="Z19" i="60" s="1"/>
  <c r="AH33" i="53"/>
  <c r="AH32" i="53"/>
  <c r="AA26" i="60"/>
  <c r="AA18" i="60" s="1"/>
  <c r="AA32" i="60" s="1"/>
  <c r="AA24" i="60"/>
  <c r="Z27" i="60"/>
  <c r="I11" i="53"/>
  <c r="J9" i="53" s="1"/>
  <c r="I6" i="53"/>
  <c r="I7" i="53" s="1"/>
  <c r="AI31" i="53"/>
  <c r="J3" i="53"/>
  <c r="J10" i="53" s="1"/>
  <c r="K42" i="53" s="1"/>
  <c r="AI34" i="53"/>
  <c r="AA33" i="60" l="1"/>
  <c r="AA19" i="60" s="1"/>
  <c r="AI33" i="53"/>
  <c r="AI32" i="53"/>
  <c r="AA27" i="60"/>
  <c r="AA25" i="60"/>
  <c r="AB23" i="60" s="1"/>
  <c r="AB24" i="60" s="1"/>
  <c r="J11" i="53"/>
  <c r="K9" i="53" s="1"/>
  <c r="J6" i="53"/>
  <c r="J7" i="53" s="1"/>
  <c r="AJ31" i="53"/>
  <c r="K3" i="53"/>
  <c r="K10" i="53" s="1"/>
  <c r="L42" i="53" s="1"/>
  <c r="AJ34" i="53"/>
  <c r="AJ33" i="53" l="1"/>
  <c r="AJ32" i="53"/>
  <c r="AB26" i="60"/>
  <c r="AB25" i="60"/>
  <c r="AC23" i="60" s="1"/>
  <c r="K11" i="53"/>
  <c r="K6" i="53"/>
  <c r="K7" i="53" s="1"/>
  <c r="L3" i="53"/>
  <c r="AK31" i="53"/>
  <c r="AK34" i="53"/>
  <c r="L6" i="53" l="1"/>
  <c r="L7" i="53" s="1"/>
  <c r="L10" i="53"/>
  <c r="M42" i="53" s="1"/>
  <c r="AK33" i="53"/>
  <c r="AK32" i="53"/>
  <c r="AC24" i="60"/>
  <c r="AC26" i="60"/>
  <c r="AC18" i="60" s="1"/>
  <c r="AC32" i="60" s="1"/>
  <c r="AB18" i="60"/>
  <c r="AB32" i="60" s="1"/>
  <c r="AB27" i="60"/>
  <c r="M3" i="53"/>
  <c r="M10" i="53" s="1"/>
  <c r="L11" i="53"/>
  <c r="AL31" i="53"/>
  <c r="I24" i="53"/>
  <c r="I25" i="53" s="1"/>
  <c r="AL34" i="53"/>
  <c r="H28" i="53"/>
  <c r="N42" i="53" l="1"/>
  <c r="AC33" i="60"/>
  <c r="AC19" i="60" s="1"/>
  <c r="AB33" i="60"/>
  <c r="AB19" i="60" s="1"/>
  <c r="AL33" i="53"/>
  <c r="AL32" i="53"/>
  <c r="AC27" i="60"/>
  <c r="AC25" i="60"/>
  <c r="AD23" i="60" s="1"/>
  <c r="N3" i="53"/>
  <c r="M6" i="53"/>
  <c r="M7" i="53" s="1"/>
  <c r="M11" i="53"/>
  <c r="I27" i="53"/>
  <c r="I26" i="53"/>
  <c r="J24" i="53" s="1"/>
  <c r="J25" i="53" s="1"/>
  <c r="AM31" i="53"/>
  <c r="L9" i="53"/>
  <c r="AM34" i="53"/>
  <c r="N6" i="53" l="1"/>
  <c r="N7" i="53" s="1"/>
  <c r="N10" i="53"/>
  <c r="O42" i="53" s="1"/>
  <c r="N11" i="53"/>
  <c r="O3" i="53"/>
  <c r="AM33" i="53"/>
  <c r="AM32" i="53"/>
  <c r="AD26" i="60"/>
  <c r="AD18" i="60" s="1"/>
  <c r="AD32" i="60" s="1"/>
  <c r="AD24" i="60"/>
  <c r="I12" i="53"/>
  <c r="J27" i="53"/>
  <c r="J12" i="53" s="1"/>
  <c r="J35" i="53" s="1"/>
  <c r="J26" i="53"/>
  <c r="K24" i="53" s="1"/>
  <c r="K25" i="53" s="1"/>
  <c r="AN31" i="53"/>
  <c r="I28" i="53"/>
  <c r="M9" i="53"/>
  <c r="AN34" i="53"/>
  <c r="H17" i="53"/>
  <c r="H19" i="53" s="1"/>
  <c r="O6" i="53" l="1"/>
  <c r="O7" i="53" s="1"/>
  <c r="O10" i="53"/>
  <c r="P42" i="53" s="1"/>
  <c r="O11" i="53"/>
  <c r="P3" i="53"/>
  <c r="AD33" i="60"/>
  <c r="AD19" i="60" s="1"/>
  <c r="J36" i="53"/>
  <c r="J13" i="53" s="1"/>
  <c r="AN33" i="53"/>
  <c r="AN32" i="53"/>
  <c r="I35" i="53"/>
  <c r="AD27" i="60"/>
  <c r="AD25" i="60"/>
  <c r="AE23" i="60" s="1"/>
  <c r="AE26" i="60" s="1"/>
  <c r="AE18" i="60" s="1"/>
  <c r="AE32" i="60" s="1"/>
  <c r="P11" i="53"/>
  <c r="AO31" i="53"/>
  <c r="K27" i="53"/>
  <c r="J28" i="53"/>
  <c r="N9" i="53"/>
  <c r="AO34" i="53"/>
  <c r="P6" i="53" l="1"/>
  <c r="P7" i="53" s="1"/>
  <c r="P10" i="53"/>
  <c r="Q42" i="53" s="1"/>
  <c r="Q3" i="53"/>
  <c r="Q11" i="53" s="1"/>
  <c r="J16" i="53"/>
  <c r="J17" i="53" s="1"/>
  <c r="J19" i="53" s="1"/>
  <c r="AE33" i="60"/>
  <c r="AE19" i="60" s="1"/>
  <c r="I36" i="53"/>
  <c r="I13" i="53" s="1"/>
  <c r="AO33" i="53"/>
  <c r="AO32" i="53"/>
  <c r="AE24" i="60"/>
  <c r="AE27" i="60" s="1"/>
  <c r="K12" i="53"/>
  <c r="AP31" i="53"/>
  <c r="O9" i="53"/>
  <c r="AP34" i="53"/>
  <c r="K28" i="53"/>
  <c r="K26" i="53"/>
  <c r="L24" i="53" s="1"/>
  <c r="L25" i="53" s="1"/>
  <c r="R3" i="53"/>
  <c r="Q6" i="53" l="1"/>
  <c r="Q7" i="53" s="1"/>
  <c r="Q10" i="53"/>
  <c r="R42" i="53" s="1"/>
  <c r="R6" i="53"/>
  <c r="R7" i="53" s="1"/>
  <c r="R10" i="53"/>
  <c r="I16" i="53"/>
  <c r="I17" i="53" s="1"/>
  <c r="I19" i="53" s="1"/>
  <c r="AP33" i="53"/>
  <c r="AP32" i="53"/>
  <c r="K35" i="53"/>
  <c r="AE25" i="60"/>
  <c r="AF23" i="60" s="1"/>
  <c r="AF26" i="60" s="1"/>
  <c r="AF18" i="60" s="1"/>
  <c r="AF32" i="60" s="1"/>
  <c r="R11" i="53"/>
  <c r="L26" i="53"/>
  <c r="M24" i="53" s="1"/>
  <c r="M25" i="53" s="1"/>
  <c r="L27" i="53"/>
  <c r="L12" i="53" s="1"/>
  <c r="L35" i="53" s="1"/>
  <c r="P9" i="53"/>
  <c r="S3" i="53"/>
  <c r="S42" i="53" l="1"/>
  <c r="S6" i="53"/>
  <c r="S7" i="53" s="1"/>
  <c r="S10" i="53"/>
  <c r="T42" i="53" s="1"/>
  <c r="AF33" i="60"/>
  <c r="AF19" i="60" s="1"/>
  <c r="L36" i="53"/>
  <c r="L13" i="53" s="1"/>
  <c r="K36" i="53"/>
  <c r="K13" i="53" s="1"/>
  <c r="AF24" i="60"/>
  <c r="AF27" i="60" s="1"/>
  <c r="S11" i="53"/>
  <c r="M27" i="53"/>
  <c r="M12" i="53" s="1"/>
  <c r="M35" i="53" s="1"/>
  <c r="Q9" i="53"/>
  <c r="L28" i="53"/>
  <c r="T3" i="53"/>
  <c r="T6" i="53" l="1"/>
  <c r="T7" i="53" s="1"/>
  <c r="T10" i="53"/>
  <c r="U42" i="53" s="1"/>
  <c r="L16" i="53"/>
  <c r="L17" i="53" s="1"/>
  <c r="L19" i="53" s="1"/>
  <c r="K16" i="53"/>
  <c r="K17" i="53" s="1"/>
  <c r="K19" i="53" s="1"/>
  <c r="M36" i="53"/>
  <c r="M13" i="53" s="1"/>
  <c r="M16" i="53" s="1"/>
  <c r="AF25" i="60"/>
  <c r="T11" i="53"/>
  <c r="R9" i="53"/>
  <c r="M28" i="53"/>
  <c r="M26" i="53"/>
  <c r="N24" i="53" s="1"/>
  <c r="N25" i="53" s="1"/>
  <c r="U3" i="53"/>
  <c r="U6" i="53" l="1"/>
  <c r="U7" i="53" s="1"/>
  <c r="U10" i="53"/>
  <c r="V42" i="53" s="1"/>
  <c r="U11" i="53"/>
  <c r="N27" i="53"/>
  <c r="N12" i="53" s="1"/>
  <c r="N35" i="53" s="1"/>
  <c r="S9" i="53"/>
  <c r="M17" i="53"/>
  <c r="V3" i="53"/>
  <c r="V6" i="53" l="1"/>
  <c r="V7" i="53" s="1"/>
  <c r="V10" i="53"/>
  <c r="W42" i="53" s="1"/>
  <c r="N36" i="53"/>
  <c r="N13" i="53" s="1"/>
  <c r="N16" i="53" s="1"/>
  <c r="V11" i="53"/>
  <c r="T9" i="53"/>
  <c r="M19" i="53"/>
  <c r="N28" i="53"/>
  <c r="N26" i="53"/>
  <c r="O24" i="53" s="1"/>
  <c r="O25" i="53" s="1"/>
  <c r="W3" i="53"/>
  <c r="W6" i="53" l="1"/>
  <c r="W7" i="53" s="1"/>
  <c r="W10" i="53"/>
  <c r="X42" i="53" s="1"/>
  <c r="W11" i="53"/>
  <c r="O27" i="53"/>
  <c r="O12" i="53" s="1"/>
  <c r="O35" i="53" s="1"/>
  <c r="U9" i="53"/>
  <c r="N17" i="53"/>
  <c r="X3" i="53"/>
  <c r="X6" i="53" l="1"/>
  <c r="X7" i="53" s="1"/>
  <c r="X10" i="53"/>
  <c r="Y42" i="53" s="1"/>
  <c r="O36" i="53"/>
  <c r="O13" i="53" s="1"/>
  <c r="O16" i="53" s="1"/>
  <c r="X11" i="53"/>
  <c r="V9" i="53"/>
  <c r="N19" i="53"/>
  <c r="O28" i="53"/>
  <c r="O26" i="53"/>
  <c r="P24" i="53" s="1"/>
  <c r="P25" i="53" s="1"/>
  <c r="Y3" i="53"/>
  <c r="Y6" i="53" l="1"/>
  <c r="Y7" i="53" s="1"/>
  <c r="Y10" i="53"/>
  <c r="Z42" i="53" s="1"/>
  <c r="Y11" i="53"/>
  <c r="O17" i="53"/>
  <c r="P26" i="53"/>
  <c r="Q24" i="53" s="1"/>
  <c r="Q25" i="53" s="1"/>
  <c r="P27" i="53"/>
  <c r="P12" i="53" s="1"/>
  <c r="P35" i="53" s="1"/>
  <c r="W9" i="53"/>
  <c r="Z3" i="53"/>
  <c r="Z6" i="53" l="1"/>
  <c r="Z7" i="53" s="1"/>
  <c r="Z10" i="53"/>
  <c r="AA42" i="53" s="1"/>
  <c r="P36" i="53"/>
  <c r="P13" i="53" s="1"/>
  <c r="Z11" i="53"/>
  <c r="Q26" i="53"/>
  <c r="R24" i="53" s="1"/>
  <c r="R25" i="53" s="1"/>
  <c r="Q27" i="53"/>
  <c r="Q12" i="53" s="1"/>
  <c r="Q35" i="53" s="1"/>
  <c r="X9" i="53"/>
  <c r="P28" i="53"/>
  <c r="O19" i="53"/>
  <c r="AA3" i="53"/>
  <c r="AA6" i="53" l="1"/>
  <c r="AA7" i="53" s="1"/>
  <c r="AA10" i="53"/>
  <c r="AB42" i="53" s="1"/>
  <c r="P16" i="53"/>
  <c r="P17" i="53" s="1"/>
  <c r="P19" i="53" s="1"/>
  <c r="Q36" i="53"/>
  <c r="Q13" i="53" s="1"/>
  <c r="AA11" i="53"/>
  <c r="R27" i="53"/>
  <c r="R12" i="53" s="1"/>
  <c r="R35" i="53" s="1"/>
  <c r="Y9" i="53"/>
  <c r="Q28" i="53"/>
  <c r="AB3" i="53"/>
  <c r="AB6" i="53" l="1"/>
  <c r="AB7" i="53" s="1"/>
  <c r="AB10" i="53"/>
  <c r="AC42" i="53" s="1"/>
  <c r="Q16" i="53"/>
  <c r="Q17" i="53" s="1"/>
  <c r="Q19" i="53" s="1"/>
  <c r="R36" i="53"/>
  <c r="R13" i="53" s="1"/>
  <c r="R16" i="53" s="1"/>
  <c r="AB11" i="53"/>
  <c r="Z9" i="53"/>
  <c r="R28" i="53"/>
  <c r="R26" i="53"/>
  <c r="S24" i="53" s="1"/>
  <c r="S25" i="53" s="1"/>
  <c r="AC3" i="53"/>
  <c r="AC6" i="53" l="1"/>
  <c r="AC7" i="53" s="1"/>
  <c r="AC10" i="53"/>
  <c r="AD42" i="53" s="1"/>
  <c r="AC11" i="53"/>
  <c r="R17" i="53"/>
  <c r="R19" i="53" s="1"/>
  <c r="S26" i="53"/>
  <c r="T24" i="53" s="1"/>
  <c r="T25" i="53" s="1"/>
  <c r="S27" i="53"/>
  <c r="S12" i="53" s="1"/>
  <c r="S35" i="53" s="1"/>
  <c r="AA9" i="53"/>
  <c r="AD3" i="53"/>
  <c r="AD6" i="53" l="1"/>
  <c r="AD7" i="53" s="1"/>
  <c r="AD10" i="53"/>
  <c r="AE42" i="53" s="1"/>
  <c r="S36" i="53"/>
  <c r="S13" i="53" s="1"/>
  <c r="S16" i="53" s="1"/>
  <c r="AD11" i="53"/>
  <c r="T27" i="53"/>
  <c r="T12" i="53" s="1"/>
  <c r="T35" i="53" s="1"/>
  <c r="AB9" i="53"/>
  <c r="S28" i="53"/>
  <c r="AE3" i="53"/>
  <c r="AE6" i="53" l="1"/>
  <c r="AE7" i="53" s="1"/>
  <c r="AE10" i="53"/>
  <c r="AF42" i="53" s="1"/>
  <c r="T36" i="53"/>
  <c r="T13" i="53" s="1"/>
  <c r="T16" i="53" s="1"/>
  <c r="AE11" i="53"/>
  <c r="AC9" i="53"/>
  <c r="S17" i="53"/>
  <c r="S19" i="53" s="1"/>
  <c r="T28" i="53"/>
  <c r="T26" i="53"/>
  <c r="U24" i="53" s="1"/>
  <c r="U25" i="53" s="1"/>
  <c r="AF3" i="53"/>
  <c r="AF6" i="53" l="1"/>
  <c r="AF7" i="53" s="1"/>
  <c r="AF10" i="53"/>
  <c r="AG42" i="53" s="1"/>
  <c r="AF11" i="53"/>
  <c r="T17" i="53"/>
  <c r="T19" i="53" s="1"/>
  <c r="U27" i="53"/>
  <c r="U12" i="53" s="1"/>
  <c r="U35" i="53" s="1"/>
  <c r="AD9" i="53"/>
  <c r="AG3" i="53"/>
  <c r="AG6" i="53" l="1"/>
  <c r="AG7" i="53" s="1"/>
  <c r="AG10" i="53"/>
  <c r="AH42" i="53" s="1"/>
  <c r="U36" i="53"/>
  <c r="U13" i="53" s="1"/>
  <c r="U16" i="53" s="1"/>
  <c r="AG11" i="53"/>
  <c r="AE9" i="53"/>
  <c r="AH3" i="53"/>
  <c r="U26" i="53"/>
  <c r="V24" i="53" s="1"/>
  <c r="V25" i="53" s="1"/>
  <c r="U28" i="53"/>
  <c r="AH6" i="53" l="1"/>
  <c r="AH7" i="53" s="1"/>
  <c r="AH10" i="53"/>
  <c r="AI42" i="53" s="1"/>
  <c r="AH11" i="53"/>
  <c r="V26" i="53"/>
  <c r="W24" i="53" s="1"/>
  <c r="W25" i="53" s="1"/>
  <c r="V27" i="53"/>
  <c r="V12" i="53" s="1"/>
  <c r="V35" i="53" s="1"/>
  <c r="AF9" i="53"/>
  <c r="AI3" i="53"/>
  <c r="U17" i="53"/>
  <c r="U19" i="53" s="1"/>
  <c r="AI6" i="53" l="1"/>
  <c r="AI7" i="53" s="1"/>
  <c r="AI10" i="53"/>
  <c r="AJ42" i="53" s="1"/>
  <c r="V36" i="53"/>
  <c r="V13" i="53" s="1"/>
  <c r="V16" i="53" s="1"/>
  <c r="AI11" i="53"/>
  <c r="W26" i="53"/>
  <c r="X24" i="53" s="1"/>
  <c r="X25" i="53" s="1"/>
  <c r="W27" i="53"/>
  <c r="W12" i="53" s="1"/>
  <c r="W35" i="53" s="1"/>
  <c r="AG9" i="53"/>
  <c r="AJ3" i="53"/>
  <c r="V28" i="53"/>
  <c r="AJ6" i="53" l="1"/>
  <c r="AJ7" i="53" s="1"/>
  <c r="AJ10" i="53"/>
  <c r="AK42" i="53" s="1"/>
  <c r="W36" i="53"/>
  <c r="W13" i="53" s="1"/>
  <c r="W16" i="53" s="1"/>
  <c r="AJ11" i="53"/>
  <c r="X27" i="53"/>
  <c r="X12" i="53" s="1"/>
  <c r="X35" i="53" s="1"/>
  <c r="AH9" i="53"/>
  <c r="AK3" i="53"/>
  <c r="V17" i="53"/>
  <c r="V19" i="53" s="1"/>
  <c r="W28" i="53"/>
  <c r="AK6" i="53" l="1"/>
  <c r="AK7" i="53" s="1"/>
  <c r="AK10" i="53"/>
  <c r="AL42" i="53" s="1"/>
  <c r="X36" i="53"/>
  <c r="X13" i="53" s="1"/>
  <c r="X16" i="53" s="1"/>
  <c r="AK11" i="53"/>
  <c r="AI9" i="53"/>
  <c r="AL3" i="53"/>
  <c r="W17" i="53"/>
  <c r="W19" i="53" s="1"/>
  <c r="X28" i="53"/>
  <c r="X26" i="53"/>
  <c r="Y24" i="53" s="1"/>
  <c r="Y25" i="53" s="1"/>
  <c r="AL6" i="53" l="1"/>
  <c r="AL7" i="53" s="1"/>
  <c r="AL10" i="53"/>
  <c r="AM42" i="53" s="1"/>
  <c r="AL11" i="53"/>
  <c r="X17" i="53"/>
  <c r="X19" i="53" s="1"/>
  <c r="Y27" i="53"/>
  <c r="Y12" i="53" s="1"/>
  <c r="Y35" i="53" s="1"/>
  <c r="AJ9" i="53"/>
  <c r="AM3" i="53"/>
  <c r="AM6" i="53" l="1"/>
  <c r="AM7" i="53" s="1"/>
  <c r="AM10" i="53"/>
  <c r="AN42" i="53" s="1"/>
  <c r="Y36" i="53"/>
  <c r="Y13" i="53" s="1"/>
  <c r="Y16" i="53" s="1"/>
  <c r="AM11" i="53"/>
  <c r="AK9" i="53"/>
  <c r="AN3" i="53"/>
  <c r="Y28" i="53"/>
  <c r="Y26" i="53"/>
  <c r="Z24" i="53" s="1"/>
  <c r="Z25" i="53" s="1"/>
  <c r="AN6" i="53" l="1"/>
  <c r="AN7" i="53" s="1"/>
  <c r="AN10" i="53"/>
  <c r="AO42" i="53" s="1"/>
  <c r="AN11" i="53"/>
  <c r="Y17" i="53"/>
  <c r="Y19" i="53" s="1"/>
  <c r="Z27" i="53"/>
  <c r="Z12" i="53" s="1"/>
  <c r="Z35" i="53" s="1"/>
  <c r="AL9" i="53"/>
  <c r="AO3" i="53"/>
  <c r="AO6" i="53" l="1"/>
  <c r="AO7" i="53" s="1"/>
  <c r="AO10" i="53"/>
  <c r="AP42" i="53" s="1"/>
  <c r="Z36" i="53"/>
  <c r="Z13" i="53" s="1"/>
  <c r="Z16" i="53" s="1"/>
  <c r="AO11" i="53"/>
  <c r="AM9" i="53"/>
  <c r="AP3" i="53"/>
  <c r="Z26" i="53"/>
  <c r="AA24" i="53" s="1"/>
  <c r="AA25" i="53" s="1"/>
  <c r="Z28" i="53"/>
  <c r="AP6" i="53" l="1"/>
  <c r="AP7" i="53" s="1"/>
  <c r="AP10" i="53"/>
  <c r="AP11" i="53"/>
  <c r="Z17" i="53"/>
  <c r="Z19" i="53" s="1"/>
  <c r="AA27" i="53"/>
  <c r="AA12" i="53" s="1"/>
  <c r="AA35" i="53" s="1"/>
  <c r="AN9" i="53"/>
  <c r="AA36" i="53" l="1"/>
  <c r="AA13" i="53" s="1"/>
  <c r="AA16" i="53" s="1"/>
  <c r="AO9" i="53"/>
  <c r="AP9" i="53"/>
  <c r="AA28" i="53"/>
  <c r="AA26" i="53"/>
  <c r="AB24" i="53" s="1"/>
  <c r="AB25" i="53" s="1"/>
  <c r="AA17" i="53" l="1"/>
  <c r="AA19" i="53" s="1"/>
  <c r="AB27" i="53"/>
  <c r="AB12" i="53" s="1"/>
  <c r="AB35" i="53" s="1"/>
  <c r="AB36" i="53" l="1"/>
  <c r="AB13" i="53" s="1"/>
  <c r="AB16" i="53" s="1"/>
  <c r="AB28" i="53"/>
  <c r="AB26" i="53"/>
  <c r="AC24" i="53" s="1"/>
  <c r="AC25" i="53" s="1"/>
  <c r="AB17" i="53" l="1"/>
  <c r="AB19" i="53" s="1"/>
  <c r="AC27" i="53"/>
  <c r="AC12" i="53" s="1"/>
  <c r="AC35" i="53" s="1"/>
  <c r="AC36" i="53" l="1"/>
  <c r="AC13" i="53" s="1"/>
  <c r="AC16" i="53" s="1"/>
  <c r="AC26" i="53"/>
  <c r="AD24" i="53" s="1"/>
  <c r="AD25" i="53" s="1"/>
  <c r="AC28" i="53"/>
  <c r="AC17" i="53" l="1"/>
  <c r="AC19" i="53" s="1"/>
  <c r="AD27" i="53"/>
  <c r="AD12" i="53" s="1"/>
  <c r="AD35" i="53" s="1"/>
  <c r="AD36" i="53" l="1"/>
  <c r="AD13" i="53" s="1"/>
  <c r="AD16" i="53" s="1"/>
  <c r="AD28" i="53"/>
  <c r="AD26" i="53"/>
  <c r="AE24" i="53" s="1"/>
  <c r="AE25" i="53" s="1"/>
  <c r="AD17" i="53" l="1"/>
  <c r="AD19" i="53" s="1"/>
  <c r="AE27" i="53"/>
  <c r="AE12" i="53" s="1"/>
  <c r="AE35" i="53" s="1"/>
  <c r="AE36" i="53" l="1"/>
  <c r="AE13" i="53" s="1"/>
  <c r="AE16" i="53" s="1"/>
  <c r="AE26" i="53"/>
  <c r="AF24" i="53" s="1"/>
  <c r="AF25" i="53" s="1"/>
  <c r="AE28" i="53"/>
  <c r="AE17" i="53" l="1"/>
  <c r="AE19" i="53" s="1"/>
  <c r="AF27" i="53"/>
  <c r="AF12" i="53" s="1"/>
  <c r="AF35" i="53" s="1"/>
  <c r="AF36" i="53" l="1"/>
  <c r="AF13" i="53" s="1"/>
  <c r="AF16" i="53" s="1"/>
  <c r="AF26" i="53"/>
  <c r="AG24" i="53" s="1"/>
  <c r="AG25" i="53" s="1"/>
  <c r="AF28" i="53"/>
  <c r="AF17" i="53" l="1"/>
  <c r="AF19" i="53" s="1"/>
  <c r="AG26" i="53"/>
  <c r="AH24" i="53" s="1"/>
  <c r="AH25" i="53" s="1"/>
  <c r="AG27" i="53"/>
  <c r="AH27" i="53" l="1"/>
  <c r="AH12" i="53" s="1"/>
  <c r="AH35" i="53" s="1"/>
  <c r="AG28" i="53"/>
  <c r="AG12" i="53"/>
  <c r="AG35" i="53" s="1"/>
  <c r="AG36" i="53" l="1"/>
  <c r="AG13" i="53" s="1"/>
  <c r="AH36" i="53"/>
  <c r="AH13" i="53" s="1"/>
  <c r="AH26" i="53"/>
  <c r="AI24" i="53" s="1"/>
  <c r="AI25" i="53" s="1"/>
  <c r="AH28" i="53"/>
  <c r="AH16" i="53" l="1"/>
  <c r="AH17" i="53" s="1"/>
  <c r="AH19" i="53" s="1"/>
  <c r="AG16" i="53"/>
  <c r="AG17" i="53" s="1"/>
  <c r="AG19" i="53" s="1"/>
  <c r="AI26" i="53"/>
  <c r="AJ24" i="53" s="1"/>
  <c r="AJ25" i="53" s="1"/>
  <c r="AI27" i="53"/>
  <c r="AI12" i="53" s="1"/>
  <c r="AI35" i="53" s="1"/>
  <c r="AI36" i="53" l="1"/>
  <c r="AI13" i="53" s="1"/>
  <c r="AI16" i="53" s="1"/>
  <c r="AJ27" i="53"/>
  <c r="AJ12" i="53" s="1"/>
  <c r="AJ35" i="53" s="1"/>
  <c r="AI28" i="53"/>
  <c r="AJ36" i="53" l="1"/>
  <c r="AJ13" i="53" s="1"/>
  <c r="AJ16" i="53" s="1"/>
  <c r="AI17" i="53"/>
  <c r="AI19" i="53" s="1"/>
  <c r="AJ28" i="53"/>
  <c r="AJ26" i="53"/>
  <c r="AK24" i="53" s="1"/>
  <c r="AK25" i="53" s="1"/>
  <c r="AJ17" i="53" l="1"/>
  <c r="AJ19" i="53" s="1"/>
  <c r="AK26" i="53"/>
  <c r="AL24" i="53" s="1"/>
  <c r="AL25" i="53" s="1"/>
  <c r="AK27" i="53"/>
  <c r="AK12" i="53" s="1"/>
  <c r="AK35" i="53" s="1"/>
  <c r="AK36" i="53" l="1"/>
  <c r="AK13" i="53" s="1"/>
  <c r="AK16" i="53" s="1"/>
  <c r="AL26" i="53"/>
  <c r="AM24" i="53" s="1"/>
  <c r="AM25" i="53" s="1"/>
  <c r="AL27" i="53"/>
  <c r="AL12" i="53" s="1"/>
  <c r="AL35" i="53" s="1"/>
  <c r="AK28" i="53"/>
  <c r="AL36" i="53" l="1"/>
  <c r="AL13" i="53" s="1"/>
  <c r="AL16" i="53" s="1"/>
  <c r="AK17" i="53"/>
  <c r="AK19" i="53" s="1"/>
  <c r="AM27" i="53"/>
  <c r="AM12" i="53" s="1"/>
  <c r="AM35" i="53" s="1"/>
  <c r="AL28" i="53"/>
  <c r="AM36" i="53" l="1"/>
  <c r="AM13" i="53" s="1"/>
  <c r="AM16" i="53" s="1"/>
  <c r="AL17" i="53"/>
  <c r="AL19" i="53" s="1"/>
  <c r="AM28" i="53"/>
  <c r="AM26" i="53"/>
  <c r="AN24" i="53" s="1"/>
  <c r="AN25" i="53" s="1"/>
  <c r="AM17" i="53" l="1"/>
  <c r="AM19" i="53" s="1"/>
  <c r="AN26" i="53"/>
  <c r="AO24" i="53" s="1"/>
  <c r="AO25" i="53" s="1"/>
  <c r="AN27" i="53"/>
  <c r="AN12" i="53" s="1"/>
  <c r="AN35" i="53" s="1"/>
  <c r="AN36" i="53" l="1"/>
  <c r="AN13" i="53" s="1"/>
  <c r="AN16" i="53" s="1"/>
  <c r="AO26" i="53"/>
  <c r="AP24" i="53" s="1"/>
  <c r="AP25" i="53" s="1"/>
  <c r="AO27" i="53"/>
  <c r="AO12" i="53" s="1"/>
  <c r="AO35" i="53" s="1"/>
  <c r="AN28" i="53"/>
  <c r="AO36" i="53" l="1"/>
  <c r="AO13" i="53" s="1"/>
  <c r="AO16" i="53" s="1"/>
  <c r="AN17" i="53"/>
  <c r="AN19" i="53" s="1"/>
  <c r="AP26" i="53"/>
  <c r="AP27" i="53"/>
  <c r="AP12" i="53" s="1"/>
  <c r="AP35" i="53" s="1"/>
  <c r="AO28" i="53"/>
  <c r="AP36" i="53" l="1"/>
  <c r="AP13" i="53" s="1"/>
  <c r="AP16" i="53" s="1"/>
  <c r="AO17" i="53"/>
  <c r="AO19" i="53" s="1"/>
  <c r="AP28" i="53"/>
  <c r="AP17" i="53" l="1"/>
  <c r="AP19" i="53" s="1"/>
  <c r="F20" i="53" s="1"/>
  <c r="F21" i="53" l="1"/>
  <c r="H53" i="60" l="1"/>
  <c r="I51" i="60" l="1"/>
  <c r="I52" i="60" s="1"/>
  <c r="H54" i="60"/>
  <c r="H46" i="60" s="1"/>
  <c r="I99" i="60"/>
  <c r="J99" i="60" l="1"/>
  <c r="I54" i="60"/>
  <c r="I46" i="60" s="1"/>
  <c r="H55" i="60"/>
  <c r="I43" i="60"/>
  <c r="H58" i="60"/>
  <c r="H59" i="60" s="1"/>
  <c r="H60" i="60" s="1"/>
  <c r="H61" i="60" s="1"/>
  <c r="H47" i="60" s="1"/>
  <c r="I53" i="60"/>
  <c r="J51" i="60" s="1"/>
  <c r="J52" i="60" s="1"/>
  <c r="K99" i="60" l="1"/>
  <c r="I55" i="60"/>
  <c r="J54" i="60"/>
  <c r="J46" i="60" s="1"/>
  <c r="I58" i="60"/>
  <c r="I59" i="60" s="1"/>
  <c r="J43" i="60"/>
  <c r="I45" i="60"/>
  <c r="J53" i="60"/>
  <c r="I60" i="60" l="1"/>
  <c r="I61" i="60" s="1"/>
  <c r="I47" i="60" s="1"/>
  <c r="L99" i="60"/>
  <c r="K51" i="60"/>
  <c r="K52" i="60" s="1"/>
  <c r="J55" i="60"/>
  <c r="J58" i="60"/>
  <c r="J59" i="60" s="1"/>
  <c r="K43" i="60"/>
  <c r="J45" i="60"/>
  <c r="J60" i="60" l="1"/>
  <c r="J61" i="60" s="1"/>
  <c r="J47" i="60" s="1"/>
  <c r="M99" i="60"/>
  <c r="K54" i="60"/>
  <c r="K46" i="60" s="1"/>
  <c r="I69" i="60"/>
  <c r="I70" i="60" s="1"/>
  <c r="H69" i="60"/>
  <c r="H70" i="60" s="1"/>
  <c r="H81" i="60" s="1"/>
  <c r="H84" i="60" s="1"/>
  <c r="H76" i="60" s="1"/>
  <c r="H100" i="60" s="1"/>
  <c r="K45" i="60"/>
  <c r="L43" i="60"/>
  <c r="K58" i="60"/>
  <c r="K59" i="60" s="1"/>
  <c r="K53" i="60"/>
  <c r="K60" i="60" l="1"/>
  <c r="K61" i="60" s="1"/>
  <c r="K47" i="60" s="1"/>
  <c r="N99" i="60"/>
  <c r="K55" i="60"/>
  <c r="H78" i="60"/>
  <c r="L51" i="60"/>
  <c r="L52" i="60" s="1"/>
  <c r="H85" i="60"/>
  <c r="I78" i="60"/>
  <c r="I102" i="60" s="1"/>
  <c r="M43" i="60"/>
  <c r="L45" i="60"/>
  <c r="L58" i="60"/>
  <c r="L59" i="60" s="1"/>
  <c r="H102" i="60" l="1"/>
  <c r="O99" i="60"/>
  <c r="L54" i="60"/>
  <c r="L46" i="60" s="1"/>
  <c r="L60" i="60" s="1"/>
  <c r="L61" i="60" s="1"/>
  <c r="L47" i="60" s="1"/>
  <c r="H73" i="60"/>
  <c r="H71" i="60"/>
  <c r="I71" i="60" s="1"/>
  <c r="J71" i="60" s="1"/>
  <c r="K71" i="60" s="1"/>
  <c r="L71" i="60" s="1"/>
  <c r="M71" i="60" s="1"/>
  <c r="N71" i="60" s="1"/>
  <c r="O71" i="60" s="1"/>
  <c r="P71" i="60" s="1"/>
  <c r="Q71" i="60" s="1"/>
  <c r="R71" i="60" s="1"/>
  <c r="S71" i="60" s="1"/>
  <c r="T71" i="60" s="1"/>
  <c r="U71" i="60" s="1"/>
  <c r="V71" i="60" s="1"/>
  <c r="W71" i="60" s="1"/>
  <c r="X71" i="60" s="1"/>
  <c r="Y71" i="60" s="1"/>
  <c r="Z71" i="60" s="1"/>
  <c r="AA71" i="60" s="1"/>
  <c r="AB71" i="60" s="1"/>
  <c r="AC71" i="60" s="1"/>
  <c r="AD71" i="60" s="1"/>
  <c r="AE71" i="60" s="1"/>
  <c r="AF71" i="60" s="1"/>
  <c r="H83" i="60"/>
  <c r="I81" i="60" s="1"/>
  <c r="I82" i="60" s="1"/>
  <c r="K69" i="60"/>
  <c r="K70" i="60" s="1"/>
  <c r="N43" i="60"/>
  <c r="M45" i="60"/>
  <c r="J69" i="60"/>
  <c r="J70" i="60" s="1"/>
  <c r="M58" i="60"/>
  <c r="M59" i="60" s="1"/>
  <c r="L53" i="60"/>
  <c r="P99" i="60" l="1"/>
  <c r="L55" i="60"/>
  <c r="H88" i="60"/>
  <c r="H89" i="60" s="1"/>
  <c r="H75" i="60"/>
  <c r="I73" i="60"/>
  <c r="M51" i="60"/>
  <c r="M52" i="60" s="1"/>
  <c r="J78" i="60"/>
  <c r="J102" i="60" s="1"/>
  <c r="I84" i="60"/>
  <c r="I76" i="60" s="1"/>
  <c r="K78" i="60"/>
  <c r="K102" i="60" s="1"/>
  <c r="N58" i="60"/>
  <c r="N59" i="60" s="1"/>
  <c r="N45" i="60"/>
  <c r="O43" i="60"/>
  <c r="H90" i="60" l="1"/>
  <c r="H91" i="60" s="1"/>
  <c r="H77" i="60" s="1"/>
  <c r="H101" i="60" s="1"/>
  <c r="I100" i="60"/>
  <c r="Q99" i="60"/>
  <c r="H98" i="60"/>
  <c r="I88" i="60"/>
  <c r="I89" i="60" s="1"/>
  <c r="I75" i="60"/>
  <c r="J73" i="60"/>
  <c r="M53" i="60"/>
  <c r="N51" i="60" s="1"/>
  <c r="N52" i="60" s="1"/>
  <c r="M54" i="60"/>
  <c r="M46" i="60" s="1"/>
  <c r="M60" i="60" s="1"/>
  <c r="M61" i="60" s="1"/>
  <c r="M47" i="60" s="1"/>
  <c r="I85" i="60"/>
  <c r="I83" i="60"/>
  <c r="J81" i="60" s="1"/>
  <c r="J82" i="60" s="1"/>
  <c r="L69" i="60"/>
  <c r="L70" i="60" s="1"/>
  <c r="L78" i="60"/>
  <c r="L102" i="60" s="1"/>
  <c r="P43" i="60"/>
  <c r="O45" i="60"/>
  <c r="O58" i="60"/>
  <c r="O59" i="60" s="1"/>
  <c r="I90" i="60" l="1"/>
  <c r="I91" i="60" s="1"/>
  <c r="I77" i="60" s="1"/>
  <c r="I101" i="60" s="1"/>
  <c r="H104" i="60"/>
  <c r="R99" i="60"/>
  <c r="I98" i="60"/>
  <c r="J88" i="60"/>
  <c r="J89" i="60" s="1"/>
  <c r="J75" i="60"/>
  <c r="J98" i="60" s="1"/>
  <c r="K73" i="60"/>
  <c r="M55" i="60"/>
  <c r="N54" i="60"/>
  <c r="N46" i="60" s="1"/>
  <c r="N60" i="60" s="1"/>
  <c r="N61" i="60" s="1"/>
  <c r="N47" i="60" s="1"/>
  <c r="J83" i="60"/>
  <c r="K81" i="60" s="1"/>
  <c r="K82" i="60" s="1"/>
  <c r="J84" i="60"/>
  <c r="J76" i="60" s="1"/>
  <c r="P45" i="60"/>
  <c r="Q43" i="60"/>
  <c r="P58" i="60"/>
  <c r="P59" i="60" s="1"/>
  <c r="N53" i="60"/>
  <c r="J90" i="60" l="1"/>
  <c r="J100" i="60"/>
  <c r="H105" i="60"/>
  <c r="H107" i="60" s="1"/>
  <c r="I104" i="60"/>
  <c r="S99" i="60"/>
  <c r="K88" i="60"/>
  <c r="K89" i="60" s="1"/>
  <c r="L88" i="60"/>
  <c r="L89" i="60" s="1"/>
  <c r="K75" i="60"/>
  <c r="K98" i="60" s="1"/>
  <c r="L73" i="60"/>
  <c r="L75" i="60" s="1"/>
  <c r="L98" i="60" s="1"/>
  <c r="N55" i="60"/>
  <c r="O51" i="60"/>
  <c r="O52" i="60" s="1"/>
  <c r="K84" i="60"/>
  <c r="K76" i="60" s="1"/>
  <c r="K83" i="60"/>
  <c r="L81" i="60" s="1"/>
  <c r="L82" i="60" s="1"/>
  <c r="J85" i="60"/>
  <c r="Q45" i="60"/>
  <c r="R43" i="60"/>
  <c r="Q58" i="60"/>
  <c r="Q59" i="60" s="1"/>
  <c r="K90" i="60" l="1"/>
  <c r="J91" i="60"/>
  <c r="K100" i="60"/>
  <c r="I105" i="60"/>
  <c r="I107" i="60" s="1"/>
  <c r="T99" i="60"/>
  <c r="L83" i="60"/>
  <c r="M81" i="60" s="1"/>
  <c r="M82" i="60" s="1"/>
  <c r="M88" i="60"/>
  <c r="M89" i="60" s="1"/>
  <c r="N78" i="60"/>
  <c r="N102" i="60" s="1"/>
  <c r="M73" i="60"/>
  <c r="M75" i="60" s="1"/>
  <c r="M98" i="60" s="1"/>
  <c r="M69" i="60"/>
  <c r="O54" i="60"/>
  <c r="O46" i="60" s="1"/>
  <c r="O60" i="60" s="1"/>
  <c r="O61" i="60" s="1"/>
  <c r="O47" i="60" s="1"/>
  <c r="O53" i="60"/>
  <c r="K85" i="60"/>
  <c r="L84" i="60"/>
  <c r="L76" i="60" s="1"/>
  <c r="L90" i="60" s="1"/>
  <c r="M78" i="60"/>
  <c r="M102" i="60" s="1"/>
  <c r="R58" i="60"/>
  <c r="R59" i="60" s="1"/>
  <c r="R45" i="60"/>
  <c r="S43" i="60"/>
  <c r="J77" i="60" l="1"/>
  <c r="J101" i="60" s="1"/>
  <c r="J104" i="60" s="1"/>
  <c r="J105" i="60" s="1"/>
  <c r="J107" i="60" s="1"/>
  <c r="L91" i="60"/>
  <c r="K91" i="60"/>
  <c r="U99" i="60"/>
  <c r="L100" i="60"/>
  <c r="M83" i="60"/>
  <c r="N81" i="60" s="1"/>
  <c r="N82" i="60" s="1"/>
  <c r="M84" i="60"/>
  <c r="M76" i="60" s="1"/>
  <c r="M90" i="60" s="1"/>
  <c r="M70" i="60"/>
  <c r="N88" i="60"/>
  <c r="N89" i="60" s="1"/>
  <c r="N73" i="60"/>
  <c r="N75" i="60" s="1"/>
  <c r="N98" i="60" s="1"/>
  <c r="N69" i="60"/>
  <c r="N70" i="60" s="1"/>
  <c r="O55" i="60"/>
  <c r="L85" i="60"/>
  <c r="P51" i="60"/>
  <c r="P52" i="60" s="1"/>
  <c r="S58" i="60"/>
  <c r="S59" i="60" s="1"/>
  <c r="S45" i="60"/>
  <c r="T43" i="60"/>
  <c r="K77" i="60" l="1"/>
  <c r="K101" i="60" s="1"/>
  <c r="K104" i="60" s="1"/>
  <c r="K105" i="60" s="1"/>
  <c r="K107" i="60" s="1"/>
  <c r="L77" i="60"/>
  <c r="L101" i="60" s="1"/>
  <c r="L104" i="60" s="1"/>
  <c r="L105" i="60" s="1"/>
  <c r="M91" i="60"/>
  <c r="V99" i="60"/>
  <c r="M100" i="60"/>
  <c r="M85" i="60"/>
  <c r="N83" i="60"/>
  <c r="O81" i="60" s="1"/>
  <c r="O82" i="60" s="1"/>
  <c r="N84" i="60"/>
  <c r="N76" i="60" s="1"/>
  <c r="N90" i="60" s="1"/>
  <c r="P54" i="60"/>
  <c r="P46" i="60" s="1"/>
  <c r="P60" i="60" s="1"/>
  <c r="P61" i="60" s="1"/>
  <c r="P47" i="60" s="1"/>
  <c r="U43" i="60"/>
  <c r="T45" i="60"/>
  <c r="T58" i="60"/>
  <c r="T59" i="60" s="1"/>
  <c r="M77" i="60" l="1"/>
  <c r="M101" i="60" s="1"/>
  <c r="M104" i="60" s="1"/>
  <c r="N91" i="60"/>
  <c r="W99" i="60"/>
  <c r="L107" i="60"/>
  <c r="N100" i="60"/>
  <c r="N85" i="60"/>
  <c r="P55" i="60"/>
  <c r="O83" i="60"/>
  <c r="O73" i="60"/>
  <c r="O75" i="60" s="1"/>
  <c r="O98" i="60" s="1"/>
  <c r="O88" i="60"/>
  <c r="O89" i="60" s="1"/>
  <c r="O69" i="60"/>
  <c r="O70" i="60" s="1"/>
  <c r="O78" i="60"/>
  <c r="O102" i="60" s="1"/>
  <c r="O84" i="60"/>
  <c r="O76" i="60" s="1"/>
  <c r="P53" i="60"/>
  <c r="Q51" i="60" s="1"/>
  <c r="Q52" i="60" s="1"/>
  <c r="U58" i="60"/>
  <c r="U59" i="60" s="1"/>
  <c r="V43" i="60"/>
  <c r="U45" i="60"/>
  <c r="O90" i="60" l="1"/>
  <c r="O91" i="60" s="1"/>
  <c r="O77" i="60" s="1"/>
  <c r="N77" i="60"/>
  <c r="N101" i="60" s="1"/>
  <c r="N104" i="60" s="1"/>
  <c r="O100" i="60"/>
  <c r="M105" i="60"/>
  <c r="M107" i="60" s="1"/>
  <c r="X99" i="60"/>
  <c r="O85" i="60"/>
  <c r="P81" i="60"/>
  <c r="P82" i="60" s="1"/>
  <c r="Q54" i="60"/>
  <c r="Q46" i="60" s="1"/>
  <c r="Q60" i="60" s="1"/>
  <c r="Q61" i="60" s="1"/>
  <c r="Q47" i="60" s="1"/>
  <c r="Q53" i="60"/>
  <c r="W43" i="60"/>
  <c r="V45" i="60"/>
  <c r="V58" i="60"/>
  <c r="V59" i="60" s="1"/>
  <c r="O101" i="60" l="1"/>
  <c r="O104" i="60" s="1"/>
  <c r="O105" i="60" s="1"/>
  <c r="O107" i="60" s="1"/>
  <c r="N105" i="60"/>
  <c r="N107" i="60" s="1"/>
  <c r="Y99" i="60"/>
  <c r="P84" i="60"/>
  <c r="P76" i="60" s="1"/>
  <c r="P69" i="60"/>
  <c r="P70" i="60" s="1"/>
  <c r="P78" i="60"/>
  <c r="P102" i="60" s="1"/>
  <c r="P88" i="60"/>
  <c r="P89" i="60" s="1"/>
  <c r="Q55" i="60"/>
  <c r="P73" i="60"/>
  <c r="P75" i="60" s="1"/>
  <c r="P98" i="60" s="1"/>
  <c r="R51" i="60"/>
  <c r="R52" i="60" s="1"/>
  <c r="W58" i="60"/>
  <c r="W59" i="60" s="1"/>
  <c r="X43" i="60"/>
  <c r="W45" i="60"/>
  <c r="P90" i="60" l="1"/>
  <c r="P100" i="60"/>
  <c r="Z99" i="60"/>
  <c r="P85" i="60"/>
  <c r="P83" i="60"/>
  <c r="Q69" i="60"/>
  <c r="R54" i="60"/>
  <c r="R46" i="60" s="1"/>
  <c r="R60" i="60" s="1"/>
  <c r="R61" i="60" s="1"/>
  <c r="R47" i="60" s="1"/>
  <c r="R53" i="60"/>
  <c r="X45" i="60"/>
  <c r="Y43" i="60"/>
  <c r="X58" i="60"/>
  <c r="X59" i="60" s="1"/>
  <c r="P91" i="60" l="1"/>
  <c r="AA99" i="60"/>
  <c r="Q88" i="60"/>
  <c r="Q89" i="60" s="1"/>
  <c r="Q73" i="60"/>
  <c r="Q75" i="60" s="1"/>
  <c r="Q98" i="60" s="1"/>
  <c r="Q81" i="60"/>
  <c r="Q82" i="60" s="1"/>
  <c r="Q78" i="60"/>
  <c r="Q102" i="60" s="1"/>
  <c r="Q70" i="60"/>
  <c r="S51" i="60"/>
  <c r="S52" i="60" s="1"/>
  <c r="R55" i="60"/>
  <c r="Y58" i="60"/>
  <c r="Y59" i="60" s="1"/>
  <c r="Y45" i="60"/>
  <c r="Z43" i="60"/>
  <c r="P77" i="60" l="1"/>
  <c r="P101" i="60" s="1"/>
  <c r="P104" i="60" s="1"/>
  <c r="P105" i="60" s="1"/>
  <c r="P107" i="60" s="1"/>
  <c r="AB99" i="60"/>
  <c r="Q84" i="60"/>
  <c r="Q76" i="60" s="1"/>
  <c r="Q90" i="60" s="1"/>
  <c r="Q83" i="60"/>
  <c r="R78" i="60"/>
  <c r="R102" i="60" s="1"/>
  <c r="S54" i="60"/>
  <c r="S46" i="60" s="1"/>
  <c r="S60" i="60" s="1"/>
  <c r="S61" i="60" s="1"/>
  <c r="S47" i="60" s="1"/>
  <c r="Z45" i="60"/>
  <c r="AA43" i="60"/>
  <c r="Z58" i="60"/>
  <c r="Z59" i="60" s="1"/>
  <c r="Q91" i="60" l="1"/>
  <c r="AC99" i="60"/>
  <c r="Q100" i="60"/>
  <c r="Q85" i="60"/>
  <c r="R73" i="60"/>
  <c r="R75" i="60" s="1"/>
  <c r="R98" i="60" s="1"/>
  <c r="R81" i="60"/>
  <c r="R82" i="60" s="1"/>
  <c r="R69" i="60"/>
  <c r="R70" i="60" s="1"/>
  <c r="R88" i="60"/>
  <c r="R89" i="60" s="1"/>
  <c r="S55" i="60"/>
  <c r="S53" i="60"/>
  <c r="AB43" i="60"/>
  <c r="AA45" i="60"/>
  <c r="AA58" i="60"/>
  <c r="AA59" i="60" s="1"/>
  <c r="Q77" i="60" l="1"/>
  <c r="Q101" i="60" s="1"/>
  <c r="Q104" i="60" s="1"/>
  <c r="Q105" i="60" s="1"/>
  <c r="AD99" i="60"/>
  <c r="R84" i="60"/>
  <c r="R76" i="60" s="1"/>
  <c r="R90" i="60" s="1"/>
  <c r="R83" i="60"/>
  <c r="S78" i="60"/>
  <c r="S102" i="60" s="1"/>
  <c r="T51" i="60"/>
  <c r="T52" i="60" s="1"/>
  <c r="AB58" i="60"/>
  <c r="AB59" i="60" s="1"/>
  <c r="AC43" i="60"/>
  <c r="AB45" i="60"/>
  <c r="R91" i="60" l="1"/>
  <c r="AE99" i="60"/>
  <c r="R85" i="60"/>
  <c r="R100" i="60"/>
  <c r="S69" i="60"/>
  <c r="S70" i="60" s="1"/>
  <c r="S88" i="60"/>
  <c r="S89" i="60" s="1"/>
  <c r="S81" i="60"/>
  <c r="S82" i="60" s="1"/>
  <c r="S73" i="60"/>
  <c r="S75" i="60" s="1"/>
  <c r="S98" i="60" s="1"/>
  <c r="T54" i="60"/>
  <c r="T46" i="60" s="1"/>
  <c r="T60" i="60" s="1"/>
  <c r="T61" i="60" s="1"/>
  <c r="T47" i="60" s="1"/>
  <c r="T53" i="60"/>
  <c r="U51" i="60" s="1"/>
  <c r="U78" i="60"/>
  <c r="U102" i="60" s="1"/>
  <c r="AC58" i="60"/>
  <c r="AC59" i="60" s="1"/>
  <c r="AD43" i="60"/>
  <c r="AC45" i="60"/>
  <c r="U69" i="60"/>
  <c r="U70" i="60" s="1"/>
  <c r="U52" i="60" l="1"/>
  <c r="U53" i="60" s="1"/>
  <c r="V51" i="60" s="1"/>
  <c r="U54" i="60"/>
  <c r="U46" i="60" s="1"/>
  <c r="U60" i="60" s="1"/>
  <c r="U61" i="60" s="1"/>
  <c r="U47" i="60" s="1"/>
  <c r="R77" i="60"/>
  <c r="R101" i="60" s="1"/>
  <c r="R104" i="60" s="1"/>
  <c r="Q107" i="60"/>
  <c r="AF99" i="60"/>
  <c r="S84" i="60"/>
  <c r="S76" i="60" s="1"/>
  <c r="S90" i="60" s="1"/>
  <c r="S83" i="60"/>
  <c r="T55" i="60"/>
  <c r="AD45" i="60"/>
  <c r="AE43" i="60"/>
  <c r="AD58" i="60"/>
  <c r="AD59" i="60" s="1"/>
  <c r="V52" i="60" l="1"/>
  <c r="V53" i="60" s="1"/>
  <c r="W51" i="60" s="1"/>
  <c r="V54" i="60"/>
  <c r="V46" i="60" s="1"/>
  <c r="V60" i="60" s="1"/>
  <c r="V61" i="60" s="1"/>
  <c r="V47" i="60" s="1"/>
  <c r="U55" i="60"/>
  <c r="S100" i="60"/>
  <c r="R105" i="60"/>
  <c r="R107" i="60" s="1"/>
  <c r="S85" i="60"/>
  <c r="T81" i="60"/>
  <c r="T82" i="60" s="1"/>
  <c r="AF43" i="60"/>
  <c r="AF45" i="60" s="1"/>
  <c r="AE45" i="60"/>
  <c r="AE58" i="60"/>
  <c r="AE59" i="60" s="1"/>
  <c r="AF58" i="60"/>
  <c r="AF59" i="60" s="1"/>
  <c r="V69" i="60"/>
  <c r="W52" i="60" l="1"/>
  <c r="W53" i="60" s="1"/>
  <c r="X51" i="60" s="1"/>
  <c r="X52" i="60" s="1"/>
  <c r="W54" i="60"/>
  <c r="W46" i="60" s="1"/>
  <c r="W60" i="60" s="1"/>
  <c r="W61" i="60" s="1"/>
  <c r="W47" i="60" s="1"/>
  <c r="V55" i="60"/>
  <c r="S91" i="60"/>
  <c r="T84" i="60"/>
  <c r="T76" i="60" s="1"/>
  <c r="T69" i="60"/>
  <c r="T78" i="60" s="1"/>
  <c r="T102" i="60" s="1"/>
  <c r="T73" i="60"/>
  <c r="T75" i="60" s="1"/>
  <c r="T98" i="60" s="1"/>
  <c r="T88" i="60"/>
  <c r="T89" i="60" s="1"/>
  <c r="V70" i="60"/>
  <c r="V78" i="60"/>
  <c r="V102" i="60" s="1"/>
  <c r="W55" i="60" l="1"/>
  <c r="T90" i="60"/>
  <c r="S77" i="60"/>
  <c r="S101" i="60" s="1"/>
  <c r="S104" i="60" s="1"/>
  <c r="S105" i="60" s="1"/>
  <c r="S107" i="60" s="1"/>
  <c r="T100" i="60"/>
  <c r="T85" i="60"/>
  <c r="U73" i="60"/>
  <c r="X54" i="60"/>
  <c r="X46" i="60" s="1"/>
  <c r="X60" i="60" s="1"/>
  <c r="X61" i="60" s="1"/>
  <c r="X47" i="60" s="1"/>
  <c r="T83" i="60"/>
  <c r="U81" i="60" s="1"/>
  <c r="U82" i="60" s="1"/>
  <c r="T70" i="60"/>
  <c r="U88" i="60"/>
  <c r="U89" i="60" s="1"/>
  <c r="W69" i="60"/>
  <c r="X53" i="60"/>
  <c r="T91" i="60" l="1"/>
  <c r="V73" i="60"/>
  <c r="V75" i="60" s="1"/>
  <c r="V98" i="60" s="1"/>
  <c r="X55" i="60"/>
  <c r="U75" i="60"/>
  <c r="U98" i="60" s="1"/>
  <c r="U84" i="60"/>
  <c r="U76" i="60" s="1"/>
  <c r="V88" i="60"/>
  <c r="V89" i="60" s="1"/>
  <c r="W88" i="60"/>
  <c r="W89" i="60" s="1"/>
  <c r="Y51" i="60"/>
  <c r="Y52" i="60" s="1"/>
  <c r="W70" i="60"/>
  <c r="W78" i="60"/>
  <c r="W102" i="60" s="1"/>
  <c r="U90" i="60" l="1"/>
  <c r="T77" i="60"/>
  <c r="T101" i="60" s="1"/>
  <c r="T104" i="60" s="1"/>
  <c r="T105" i="60" s="1"/>
  <c r="T107" i="60" s="1"/>
  <c r="U100" i="60"/>
  <c r="W73" i="60"/>
  <c r="W75" i="60" s="1"/>
  <c r="W98" i="60" s="1"/>
  <c r="X69" i="60"/>
  <c r="U85" i="60"/>
  <c r="U83" i="60"/>
  <c r="V81" i="60" s="1"/>
  <c r="V82" i="60" s="1"/>
  <c r="Y54" i="60"/>
  <c r="Y46" i="60" s="1"/>
  <c r="Y60" i="60" s="1"/>
  <c r="Y61" i="60" s="1"/>
  <c r="Y47" i="60" s="1"/>
  <c r="X88" i="60"/>
  <c r="X89" i="60" s="1"/>
  <c r="Y53" i="60"/>
  <c r="U91" i="60" l="1"/>
  <c r="X73" i="60"/>
  <c r="X75" i="60" s="1"/>
  <c r="X98" i="60" s="1"/>
  <c r="Y55" i="60"/>
  <c r="V84" i="60"/>
  <c r="V76" i="60" s="1"/>
  <c r="V90" i="60" s="1"/>
  <c r="Z51" i="60"/>
  <c r="Z52" i="60" s="1"/>
  <c r="X70" i="60"/>
  <c r="X78" i="60"/>
  <c r="X102" i="60" s="1"/>
  <c r="U77" i="60" l="1"/>
  <c r="U101" i="60" s="1"/>
  <c r="U104" i="60" s="1"/>
  <c r="U105" i="60" s="1"/>
  <c r="U107" i="60" s="1"/>
  <c r="V91" i="60"/>
  <c r="V100" i="60"/>
  <c r="V85" i="60"/>
  <c r="V83" i="60"/>
  <c r="W81" i="60" s="1"/>
  <c r="W82" i="60" s="1"/>
  <c r="Z54" i="60"/>
  <c r="Z46" i="60" s="1"/>
  <c r="Z60" i="60" s="1"/>
  <c r="Z61" i="60" s="1"/>
  <c r="Z47" i="60" s="1"/>
  <c r="Z53" i="60"/>
  <c r="V77" i="60" l="1"/>
  <c r="V101" i="60" s="1"/>
  <c r="V104" i="60" s="1"/>
  <c r="V105" i="60" s="1"/>
  <c r="W84" i="60"/>
  <c r="W76" i="60" s="1"/>
  <c r="W90" i="60" s="1"/>
  <c r="Y73" i="60"/>
  <c r="Y75" i="60" s="1"/>
  <c r="Y98" i="60" s="1"/>
  <c r="Y69" i="60"/>
  <c r="Y70" i="60" s="1"/>
  <c r="Y88" i="60"/>
  <c r="Y89" i="60" s="1"/>
  <c r="Y78" i="60"/>
  <c r="Y102" i="60" s="1"/>
  <c r="AA51" i="60"/>
  <c r="AA52" i="60" s="1"/>
  <c r="Z55" i="60"/>
  <c r="W91" i="60" l="1"/>
  <c r="V107" i="60"/>
  <c r="W100" i="60"/>
  <c r="AA54" i="60"/>
  <c r="AA46" i="60" s="1"/>
  <c r="AA60" i="60" s="1"/>
  <c r="AA61" i="60" s="1"/>
  <c r="AA47" i="60" s="1"/>
  <c r="W85" i="60"/>
  <c r="W83" i="60"/>
  <c r="X81" i="60" s="1"/>
  <c r="X82" i="60" s="1"/>
  <c r="Z73" i="60"/>
  <c r="Z75" i="60" s="1"/>
  <c r="Z98" i="60" s="1"/>
  <c r="Z88" i="60"/>
  <c r="Z89" i="60" s="1"/>
  <c r="Z69" i="60"/>
  <c r="AA53" i="60"/>
  <c r="W77" i="60" l="1"/>
  <c r="W101" i="60" s="1"/>
  <c r="W104" i="60" s="1"/>
  <c r="W105" i="60" s="1"/>
  <c r="AA55" i="60"/>
  <c r="X84" i="60"/>
  <c r="X76" i="60" s="1"/>
  <c r="X90" i="60" s="1"/>
  <c r="AA73" i="60"/>
  <c r="AA75" i="60" s="1"/>
  <c r="AA98" i="60" s="1"/>
  <c r="AB51" i="60"/>
  <c r="AB52" i="60" s="1"/>
  <c r="Z70" i="60"/>
  <c r="Z78" i="60"/>
  <c r="Z102" i="60" s="1"/>
  <c r="X91" i="60" l="1"/>
  <c r="W107" i="60"/>
  <c r="X100" i="60"/>
  <c r="AA88" i="60"/>
  <c r="AA89" i="60" s="1"/>
  <c r="AA69" i="60"/>
  <c r="X83" i="60"/>
  <c r="Y81" i="60" s="1"/>
  <c r="Y82" i="60" s="1"/>
  <c r="X85" i="60"/>
  <c r="AB54" i="60"/>
  <c r="AB46" i="60" s="1"/>
  <c r="AB60" i="60" s="1"/>
  <c r="AB61" i="60" s="1"/>
  <c r="AB47" i="60" s="1"/>
  <c r="AB53" i="60"/>
  <c r="X77" i="60" l="1"/>
  <c r="X101" i="60" s="1"/>
  <c r="X104" i="60" s="1"/>
  <c r="X105" i="60" s="1"/>
  <c r="AB55" i="60"/>
  <c r="Y84" i="60"/>
  <c r="Y76" i="60" s="1"/>
  <c r="Y90" i="60" s="1"/>
  <c r="AC51" i="60"/>
  <c r="AC52" i="60" s="1"/>
  <c r="AA70" i="60"/>
  <c r="AA78" i="60"/>
  <c r="AA102" i="60" s="1"/>
  <c r="Y91" i="60" l="1"/>
  <c r="X107" i="60"/>
  <c r="Y100" i="60"/>
  <c r="Y85" i="60"/>
  <c r="Y83" i="60"/>
  <c r="Z81" i="60" s="1"/>
  <c r="Z82" i="60" s="1"/>
  <c r="AC54" i="60"/>
  <c r="AC46" i="60" s="1"/>
  <c r="AC60" i="60" s="1"/>
  <c r="AC61" i="60" s="1"/>
  <c r="AC47" i="60" s="1"/>
  <c r="AC53" i="60"/>
  <c r="Y77" i="60" l="1"/>
  <c r="Y101" i="60" s="1"/>
  <c r="Y104" i="60" s="1"/>
  <c r="Y105" i="60" s="1"/>
  <c r="Z84" i="60"/>
  <c r="Z76" i="60" s="1"/>
  <c r="Z90" i="60" s="1"/>
  <c r="AC55" i="60"/>
  <c r="AB73" i="60"/>
  <c r="AB75" i="60" s="1"/>
  <c r="AB98" i="60" s="1"/>
  <c r="AB69" i="60"/>
  <c r="AB88" i="60"/>
  <c r="AB89" i="60" s="1"/>
  <c r="AD51" i="60"/>
  <c r="AD52" i="60" s="1"/>
  <c r="AB78" i="60"/>
  <c r="AB102" i="60" s="1"/>
  <c r="Z91" i="60" l="1"/>
  <c r="Y107" i="60"/>
  <c r="Z100" i="60"/>
  <c r="AB70" i="60"/>
  <c r="Z85" i="60"/>
  <c r="Z83" i="60"/>
  <c r="AA81" i="60" s="1"/>
  <c r="AA82" i="60" s="1"/>
  <c r="AD54" i="60"/>
  <c r="AD55" i="60" s="1"/>
  <c r="AD53" i="60"/>
  <c r="Z77" i="60" l="1"/>
  <c r="Z101" i="60" s="1"/>
  <c r="Z104" i="60" s="1"/>
  <c r="Z105" i="60" s="1"/>
  <c r="AD46" i="60"/>
  <c r="AD60" i="60" s="1"/>
  <c r="AD61" i="60" s="1"/>
  <c r="AD47" i="60" s="1"/>
  <c r="AA84" i="60"/>
  <c r="AA76" i="60" s="1"/>
  <c r="AA90" i="60" s="1"/>
  <c r="AC69" i="60"/>
  <c r="AC73" i="60"/>
  <c r="AC75" i="60" s="1"/>
  <c r="AC98" i="60" s="1"/>
  <c r="AC88" i="60"/>
  <c r="AC89" i="60" s="1"/>
  <c r="AE51" i="60"/>
  <c r="AE52" i="60" s="1"/>
  <c r="AC78" i="60"/>
  <c r="AC102" i="60" s="1"/>
  <c r="AA91" i="60" l="1"/>
  <c r="Z107" i="60"/>
  <c r="AA100" i="60"/>
  <c r="AC70" i="60"/>
  <c r="AA85" i="60"/>
  <c r="AA83" i="60"/>
  <c r="AB81" i="60" s="1"/>
  <c r="AB82" i="60" s="1"/>
  <c r="AE54" i="60"/>
  <c r="AE46" i="60" s="1"/>
  <c r="AE60" i="60" s="1"/>
  <c r="AE61" i="60" s="1"/>
  <c r="AE47" i="60" s="1"/>
  <c r="AA77" i="60" l="1"/>
  <c r="AA101" i="60" s="1"/>
  <c r="AA104" i="60" s="1"/>
  <c r="AA105" i="60" s="1"/>
  <c r="AD73" i="60"/>
  <c r="AD75" i="60" s="1"/>
  <c r="AD98" i="60" s="1"/>
  <c r="AD69" i="60"/>
  <c r="AD78" i="60" s="1"/>
  <c r="AD102" i="60" s="1"/>
  <c r="AB84" i="60"/>
  <c r="AB76" i="60" s="1"/>
  <c r="AB90" i="60" s="1"/>
  <c r="AE55" i="60"/>
  <c r="AE53" i="60"/>
  <c r="AF51" i="60" s="1"/>
  <c r="AF52" i="60" s="1"/>
  <c r="AD88" i="60"/>
  <c r="AD89" i="60" s="1"/>
  <c r="AB91" i="60" l="1"/>
  <c r="AA107" i="60"/>
  <c r="AB100" i="60"/>
  <c r="AB85" i="60"/>
  <c r="AB83" i="60"/>
  <c r="AC81" i="60" s="1"/>
  <c r="AC82" i="60" s="1"/>
  <c r="AF54" i="60"/>
  <c r="AF46" i="60" s="1"/>
  <c r="AF60" i="60" s="1"/>
  <c r="AF61" i="60" s="1"/>
  <c r="AF47" i="60" s="1"/>
  <c r="AD70" i="60"/>
  <c r="AB77" i="60" l="1"/>
  <c r="AB101" i="60" s="1"/>
  <c r="AB104" i="60" s="1"/>
  <c r="AB105" i="60" s="1"/>
  <c r="AC84" i="60"/>
  <c r="AC76" i="60" s="1"/>
  <c r="AC90" i="60" s="1"/>
  <c r="AC83" i="60"/>
  <c r="AD81" i="60" s="1"/>
  <c r="AD82" i="60" s="1"/>
  <c r="AE78" i="60"/>
  <c r="AE102" i="60" s="1"/>
  <c r="AE69" i="60"/>
  <c r="AE73" i="60"/>
  <c r="AE75" i="60" s="1"/>
  <c r="AE98" i="60" s="1"/>
  <c r="AE88" i="60"/>
  <c r="AE89" i="60" s="1"/>
  <c r="AF53" i="60"/>
  <c r="AF55" i="60"/>
  <c r="AC91" i="60" l="1"/>
  <c r="AB107" i="60"/>
  <c r="AC100" i="60"/>
  <c r="AE70" i="60"/>
  <c r="AD84" i="60"/>
  <c r="AD76" i="60" s="1"/>
  <c r="AD90" i="60" s="1"/>
  <c r="AD83" i="60"/>
  <c r="AE81" i="60" s="1"/>
  <c r="AE82" i="60" s="1"/>
  <c r="AC85" i="60"/>
  <c r="AF73" i="60"/>
  <c r="AF75" i="60" s="1"/>
  <c r="AF98" i="60" s="1"/>
  <c r="AC77" i="60" l="1"/>
  <c r="AC101" i="60" s="1"/>
  <c r="AC104" i="60" s="1"/>
  <c r="AC105" i="60" s="1"/>
  <c r="AD91" i="60"/>
  <c r="AD100" i="60"/>
  <c r="AD85" i="60"/>
  <c r="AF69" i="60"/>
  <c r="AF70" i="60" s="1"/>
  <c r="AF78" i="60"/>
  <c r="AF102" i="60" s="1"/>
  <c r="AF88" i="60"/>
  <c r="AF89" i="60" s="1"/>
  <c r="AE84" i="60"/>
  <c r="AE76" i="60" s="1"/>
  <c r="AE90" i="60" s="1"/>
  <c r="AD77" i="60" l="1"/>
  <c r="AD101" i="60" s="1"/>
  <c r="AD104" i="60" s="1"/>
  <c r="AD105" i="60" s="1"/>
  <c r="AE91" i="60"/>
  <c r="AC107" i="60"/>
  <c r="AE100" i="60"/>
  <c r="AE85" i="60"/>
  <c r="AE83" i="60"/>
  <c r="AF81" i="60" s="1"/>
  <c r="AF82" i="60" s="1"/>
  <c r="AE77" i="60" l="1"/>
  <c r="AE101" i="60" s="1"/>
  <c r="AE104" i="60" s="1"/>
  <c r="AE105" i="60" s="1"/>
  <c r="AD107" i="60"/>
  <c r="AF84" i="60"/>
  <c r="AF76" i="60" s="1"/>
  <c r="AF90" i="60" s="1"/>
  <c r="AF91" i="60" l="1"/>
  <c r="AE107" i="60"/>
  <c r="AF100" i="60"/>
  <c r="AF83" i="60"/>
  <c r="AF85" i="60"/>
  <c r="AF77" i="60" l="1"/>
  <c r="AF101" i="60" s="1"/>
  <c r="AF104" i="60" s="1"/>
  <c r="AF105" i="60" s="1"/>
  <c r="AF107" i="60" l="1"/>
  <c r="F109" i="60"/>
  <c r="F108" i="60" l="1"/>
</calcChain>
</file>

<file path=xl/comments1.xml><?xml version="1.0" encoding="utf-8"?>
<comments xmlns="http://schemas.openxmlformats.org/spreadsheetml/2006/main">
  <authors>
    <author>Shiv V</author>
  </authors>
  <commentList>
    <comment ref="B13" authorId="0" shapeId="0">
      <text>
        <r>
          <rPr>
            <b/>
            <sz val="9"/>
            <color indexed="81"/>
            <rFont val="Tahoma"/>
            <family val="2"/>
          </rPr>
          <t>Shiv V:</t>
        </r>
        <r>
          <rPr>
            <sz val="9"/>
            <color indexed="81"/>
            <rFont val="Tahoma"/>
            <family val="2"/>
          </rPr>
          <t xml:space="preserve">
The capital cost includes balance of system (cables, junction box, mounting structures), land, installation and commissioning cost (including civil works, transportation to site), cost of connectivity and taxes.</t>
        </r>
      </text>
    </comment>
    <comment ref="K15" authorId="0" shapeId="0">
      <text>
        <r>
          <rPr>
            <b/>
            <sz val="9"/>
            <color rgb="FF000000"/>
            <rFont val="Tahoma"/>
            <family val="2"/>
          </rPr>
          <t>Shiv V:</t>
        </r>
        <r>
          <rPr>
            <sz val="9"/>
            <color rgb="FF000000"/>
            <rFont val="Tahoma"/>
            <family val="2"/>
          </rPr>
          <t xml:space="preserve">
</t>
        </r>
        <r>
          <rPr>
            <sz val="9"/>
            <color rgb="FF000000"/>
            <rFont val="Tahoma"/>
            <family val="2"/>
          </rPr>
          <t>This value should not be negative.</t>
        </r>
      </text>
    </comment>
    <comment ref="K17" authorId="0" shapeId="0">
      <text>
        <r>
          <rPr>
            <b/>
            <sz val="9"/>
            <color indexed="81"/>
            <rFont val="Tahoma"/>
            <family val="2"/>
          </rPr>
          <t>Shiv V:</t>
        </r>
        <r>
          <rPr>
            <sz val="9"/>
            <color indexed="81"/>
            <rFont val="Tahoma"/>
            <family val="2"/>
          </rPr>
          <t xml:space="preserve">
This value should not be negative.</t>
        </r>
      </text>
    </comment>
    <comment ref="B21" authorId="0" shapeId="0">
      <text>
        <r>
          <rPr>
            <b/>
            <sz val="9"/>
            <color indexed="81"/>
            <rFont val="Tahoma"/>
            <family val="2"/>
          </rPr>
          <t>Shiv V:</t>
        </r>
        <r>
          <rPr>
            <sz val="9"/>
            <color indexed="81"/>
            <rFont val="Tahoma"/>
            <family val="2"/>
          </rPr>
          <t xml:space="preserve">
This is percentage of </t>
        </r>
        <r>
          <rPr>
            <i/>
            <sz val="9"/>
            <color indexed="81"/>
            <rFont val="Tahoma"/>
            <family val="2"/>
          </rPr>
          <t xml:space="preserve">net </t>
        </r>
        <r>
          <rPr>
            <sz val="9"/>
            <color indexed="81"/>
            <rFont val="Tahoma"/>
            <family val="2"/>
          </rPr>
          <t>capital cost.</t>
        </r>
      </text>
    </comment>
    <comment ref="B31" authorId="0" shapeId="0">
      <text>
        <r>
          <rPr>
            <b/>
            <sz val="9"/>
            <color indexed="81"/>
            <rFont val="Tahoma"/>
            <family val="2"/>
          </rPr>
          <t>Shiv V:</t>
        </r>
        <r>
          <rPr>
            <sz val="9"/>
            <color indexed="81"/>
            <rFont val="Tahoma"/>
            <family val="2"/>
          </rPr>
          <t xml:space="preserve">
Only being used for Small Hydro.</t>
        </r>
      </text>
    </comment>
    <comment ref="B33" authorId="0" shapeId="0">
      <text>
        <r>
          <rPr>
            <b/>
            <sz val="9"/>
            <color indexed="81"/>
            <rFont val="Tahoma"/>
            <family val="2"/>
          </rPr>
          <t>Shiv V:</t>
        </r>
        <r>
          <rPr>
            <sz val="9"/>
            <color indexed="81"/>
            <rFont val="Tahoma"/>
            <family val="2"/>
          </rPr>
          <t xml:space="preserve">
For first n1 years of plant life, the given depreciate rate applies. (In the case of Small Hydro, n1 is 13 years.)
If same depreciation rate is applicable throughout, n1 is equal to the life of the plant.</t>
        </r>
      </text>
    </comment>
  </commentList>
</comments>
</file>

<file path=xl/comments2.xml><?xml version="1.0" encoding="utf-8"?>
<comments xmlns="http://schemas.openxmlformats.org/spreadsheetml/2006/main">
  <authors>
    <author>Shiv V</author>
  </authors>
  <commentList>
    <comment ref="B33" authorId="0" shapeId="0">
      <text>
        <r>
          <rPr>
            <b/>
            <sz val="9"/>
            <color indexed="81"/>
            <rFont val="Tahoma"/>
            <family val="2"/>
          </rPr>
          <t>Shiv V:</t>
        </r>
        <r>
          <rPr>
            <sz val="9"/>
            <color indexed="81"/>
            <rFont val="Tahoma"/>
            <family val="2"/>
          </rPr>
          <t xml:space="preserve">
Only being used for Small Hydro
</t>
        </r>
      </text>
    </comment>
    <comment ref="B39" authorId="0" shapeId="0">
      <text>
        <r>
          <rPr>
            <b/>
            <sz val="9"/>
            <color indexed="81"/>
            <rFont val="Tahoma"/>
            <family val="2"/>
          </rPr>
          <t>Shiv V:</t>
        </r>
        <r>
          <rPr>
            <sz val="9"/>
            <color indexed="81"/>
            <rFont val="Tahoma"/>
            <family val="2"/>
          </rPr>
          <t xml:space="preserve">
To be calculated as Revenue from sale of power - Cost of Generation (without the depreciation and return on equity) - Debt repayment</t>
        </r>
      </text>
    </comment>
    <comment ref="B40" authorId="0" shapeId="0">
      <text>
        <r>
          <rPr>
            <b/>
            <sz val="9"/>
            <color indexed="81"/>
            <rFont val="Tahoma"/>
            <family val="2"/>
          </rPr>
          <t>Shiv V:</t>
        </r>
        <r>
          <rPr>
            <sz val="9"/>
            <color indexed="81"/>
            <rFont val="Tahoma"/>
            <family val="2"/>
          </rPr>
          <t xml:space="preserve">
Can be calculated using the IRR formula and applying it over the cash flow over the life of the plant.</t>
        </r>
      </text>
    </comment>
  </commentList>
</comments>
</file>

<file path=xl/comments3.xml><?xml version="1.0" encoding="utf-8"?>
<comments xmlns="http://schemas.openxmlformats.org/spreadsheetml/2006/main">
  <authors>
    <author>Shiv V</author>
  </authors>
  <commentList>
    <comment ref="N4" authorId="0" shapeId="0">
      <text>
        <r>
          <rPr>
            <b/>
            <sz val="9"/>
            <color indexed="81"/>
            <rFont val="Tahoma"/>
            <family val="2"/>
          </rPr>
          <t>Shiv V:</t>
        </r>
        <r>
          <rPr>
            <sz val="9"/>
            <color indexed="81"/>
            <rFont val="Tahoma"/>
            <family val="2"/>
          </rPr>
          <t xml:space="preserve">
This is average of capital cost fixed by CERC for states other than Himachal Pradesh, Uttarakhand, West Bengal and N.E. states for size categories below 5 MW, and between 5 MW to 25 MW.</t>
        </r>
      </text>
    </comment>
    <comment ref="N14" authorId="0" shapeId="0">
      <text>
        <r>
          <rPr>
            <b/>
            <sz val="9"/>
            <color indexed="81"/>
            <rFont val="Tahoma"/>
            <family val="2"/>
          </rPr>
          <t>Shiv V:</t>
        </r>
        <r>
          <rPr>
            <sz val="9"/>
            <color indexed="81"/>
            <rFont val="Tahoma"/>
            <family val="2"/>
          </rPr>
          <t xml:space="preserve">
This is average of capital cost fixed by CERC for states other than Himachal Pradesh, Uttarakhand, West Bengal and N.E. states for size categories below 5 MW, and between 5 MW to 25 MW.</t>
        </r>
      </text>
    </comment>
    <comment ref="H16" authorId="0" shapeId="0">
      <text>
        <r>
          <rPr>
            <b/>
            <sz val="9"/>
            <color indexed="81"/>
            <rFont val="Tahoma"/>
            <family val="2"/>
          </rPr>
          <t>Shiv V:</t>
        </r>
        <r>
          <rPr>
            <sz val="9"/>
            <color indexed="81"/>
            <rFont val="Tahoma"/>
            <family val="2"/>
          </rPr>
          <t xml:space="preserve">
We calculate insurance differently than the tariff order.</t>
        </r>
      </text>
    </comment>
  </commentList>
</comments>
</file>

<file path=xl/comments4.xml><?xml version="1.0" encoding="utf-8"?>
<comments xmlns="http://schemas.openxmlformats.org/spreadsheetml/2006/main">
  <authors>
    <author>Shiv V</author>
  </authors>
  <commentList>
    <comment ref="D3" authorId="0" shapeId="0">
      <text>
        <r>
          <rPr>
            <b/>
            <sz val="9"/>
            <color rgb="FF000000"/>
            <rFont val="Tahoma"/>
            <family val="2"/>
          </rPr>
          <t>Shiv V:</t>
        </r>
        <r>
          <rPr>
            <sz val="9"/>
            <color rgb="FF000000"/>
            <rFont val="Tahoma"/>
            <family val="2"/>
          </rPr>
          <t xml:space="preserve">
</t>
        </r>
        <r>
          <rPr>
            <sz val="9"/>
            <color rgb="FF000000"/>
            <rFont val="Tahoma"/>
            <family val="2"/>
          </rPr>
          <t>Alternatively check for additional scenario to choose from, from the Scenario Manager (under What-If Analysis)</t>
        </r>
      </text>
    </comment>
    <comment ref="B14" authorId="0" shapeId="0">
      <text>
        <r>
          <rPr>
            <b/>
            <sz val="9"/>
            <color indexed="81"/>
            <rFont val="Tahoma"/>
            <family val="2"/>
          </rPr>
          <t>Shiv V:</t>
        </r>
        <r>
          <rPr>
            <sz val="9"/>
            <color indexed="81"/>
            <rFont val="Tahoma"/>
            <family val="2"/>
          </rPr>
          <t xml:space="preserve">
Based on the base year and the cost improvement curve (in sheet </t>
        </r>
        <r>
          <rPr>
            <i/>
            <sz val="9"/>
            <color indexed="81"/>
            <rFont val="Tahoma"/>
            <family val="2"/>
          </rPr>
          <t>Cost Curve</t>
        </r>
        <r>
          <rPr>
            <sz val="9"/>
            <color indexed="81"/>
            <rFont val="Tahoma"/>
            <family val="2"/>
          </rPr>
          <t xml:space="preserve">), future replacement costs for the storage system will be calculated.
Please make sure other cost inputs on this sheet (inverter, storage system) are changed to correspond to base year.
</t>
        </r>
      </text>
    </comment>
    <comment ref="B18" authorId="0" shapeId="0">
      <text>
        <r>
          <rPr>
            <b/>
            <sz val="9"/>
            <color indexed="81"/>
            <rFont val="Tahoma"/>
            <family val="2"/>
          </rPr>
          <t>Shiv V:</t>
        </r>
        <r>
          <rPr>
            <sz val="9"/>
            <color indexed="81"/>
            <rFont val="Tahoma"/>
            <family val="2"/>
          </rPr>
          <t xml:space="preserve">
However, for the storage system, in particular, the loan tenure (plus the moratorium) will be equal to the storage life, as the life of the storage system will usually be less than 10 years.</t>
        </r>
      </text>
    </comment>
    <comment ref="B29" authorId="0" shapeId="0">
      <text>
        <r>
          <rPr>
            <b/>
            <sz val="9"/>
            <color indexed="81"/>
            <rFont val="Tahoma"/>
            <family val="2"/>
          </rPr>
          <t>Shiv V:</t>
        </r>
        <r>
          <rPr>
            <sz val="9"/>
            <color indexed="81"/>
            <rFont val="Tahoma"/>
            <family val="2"/>
          </rPr>
          <t xml:space="preserve">
The capital cost covers modules, the balance of system (cables, junction box, mounting structures), interconnection cost, installation and commissioning (including civil works, transportation to site) and taxes.</t>
        </r>
      </text>
    </comment>
    <comment ref="B32" authorId="0" shapeId="0">
      <text>
        <r>
          <rPr>
            <b/>
            <sz val="9"/>
            <color indexed="81"/>
            <rFont val="Tahoma"/>
            <family val="2"/>
          </rPr>
          <t>Shiv V:</t>
        </r>
        <r>
          <rPr>
            <sz val="9"/>
            <color indexed="81"/>
            <rFont val="Tahoma"/>
            <family val="2"/>
          </rPr>
          <t xml:space="preserve">
In case of Solar PV + Storage, levelised cost of storage is calculated for the life of, by taking into account inverter and storage module replacement costs.</t>
        </r>
      </text>
    </comment>
    <comment ref="B39" authorId="0" shapeId="0">
      <text>
        <r>
          <rPr>
            <b/>
            <sz val="9"/>
            <color indexed="81"/>
            <rFont val="Tahoma"/>
            <family val="2"/>
          </rPr>
          <t>Shiv V:</t>
        </r>
        <r>
          <rPr>
            <sz val="9"/>
            <color indexed="81"/>
            <rFont val="Tahoma"/>
            <family val="2"/>
          </rPr>
          <t xml:space="preserve">
This is hybrid inverter cost in base year in the case of a solar PV + storage system.
In the case of a standalone storage system, this will be the cost of the battery inverter.</t>
        </r>
      </text>
    </comment>
    <comment ref="B47" authorId="0" shapeId="0">
      <text>
        <r>
          <rPr>
            <b/>
            <sz val="9"/>
            <color indexed="81"/>
            <rFont val="Tahoma"/>
            <family val="2"/>
          </rPr>
          <t>Shiv V:</t>
        </r>
        <r>
          <rPr>
            <sz val="9"/>
            <color indexed="81"/>
            <rFont val="Tahoma"/>
            <family val="2"/>
          </rPr>
          <t xml:space="preserve">
This is present capital cost (including GST)</t>
        </r>
      </text>
    </comment>
    <comment ref="B48" authorId="0" shapeId="0">
      <text>
        <r>
          <rPr>
            <b/>
            <sz val="9"/>
            <color indexed="81"/>
            <rFont val="Tahoma"/>
            <family val="2"/>
          </rPr>
          <t>Shiv V:</t>
        </r>
        <r>
          <rPr>
            <sz val="9"/>
            <color indexed="81"/>
            <rFont val="Tahoma"/>
            <family val="2"/>
          </rPr>
          <t xml:space="preserve">
This is the capital cost in base year, calculated based on expected cost reductions in future, as given in Cost Year</t>
        </r>
      </text>
    </comment>
    <comment ref="B50" authorId="0" shapeId="0">
      <text>
        <r>
          <rPr>
            <b/>
            <sz val="9"/>
            <color indexed="81"/>
            <rFont val="Tahoma"/>
            <family val="2"/>
          </rPr>
          <t>Shiv V:</t>
        </r>
        <r>
          <rPr>
            <sz val="9"/>
            <color indexed="81"/>
            <rFont val="Tahoma"/>
            <family val="2"/>
          </rPr>
          <t xml:space="preserve">
This includes electrical conductors, fire suppression equipment, insulators, etc.
</t>
        </r>
      </text>
    </comment>
    <comment ref="B51" authorId="0" shapeId="0">
      <text>
        <r>
          <rPr>
            <b/>
            <sz val="9"/>
            <color indexed="81"/>
            <rFont val="Tahoma"/>
            <family val="2"/>
          </rPr>
          <t>Shiv V:</t>
        </r>
        <r>
          <rPr>
            <sz val="9"/>
            <color indexed="81"/>
            <rFont val="Tahoma"/>
            <family val="2"/>
          </rPr>
          <t xml:space="preserve">
The EPC cost is assumed constant for future replacement of the storage system.</t>
        </r>
      </text>
    </comment>
    <comment ref="B58" authorId="0" shapeId="0">
      <text>
        <r>
          <rPr>
            <b/>
            <sz val="9"/>
            <color indexed="81"/>
            <rFont val="Tahoma"/>
            <family val="2"/>
          </rPr>
          <t>Shiv V:</t>
        </r>
        <r>
          <rPr>
            <sz val="9"/>
            <color indexed="81"/>
            <rFont val="Tahoma"/>
            <family val="2"/>
          </rPr>
          <t xml:space="preserve">
Storage cycle life is the number of cycles at which end of life capacity is reached. This is dependent on the depth of discharge (DoD). This tool doesn't model the relationship between DoD and cycle life. The user should make sure that the cycle life that he enters corresponds to the given DoD.
The cycle degradation factor (% degradation per cycle) is calculated based on the assumed end-of-life capacity relative to initial capacity and storage cycle life, as:
Cycle degradation = 1 - (end-of-life capacity relatie to initial capacity)^(1/cycle life) 
This is elaborated further in Schmidt et al. 2018 (see sheet </t>
        </r>
        <r>
          <rPr>
            <i/>
            <sz val="9"/>
            <color indexed="81"/>
            <rFont val="Tahoma"/>
            <family val="2"/>
          </rPr>
          <t>Storage references</t>
        </r>
        <r>
          <rPr>
            <sz val="9"/>
            <color indexed="81"/>
            <rFont val="Tahoma"/>
            <family val="2"/>
          </rPr>
          <t>).</t>
        </r>
      </text>
    </comment>
    <comment ref="B59" authorId="0" shapeId="0">
      <text>
        <r>
          <rPr>
            <b/>
            <sz val="9"/>
            <color indexed="81"/>
            <rFont val="Tahoma"/>
            <family val="2"/>
          </rPr>
          <t>Shiv V:</t>
        </r>
        <r>
          <rPr>
            <sz val="9"/>
            <color indexed="81"/>
            <rFont val="Tahoma"/>
            <family val="2"/>
          </rPr>
          <t xml:space="preserve">
Apart from storage cycle life, the battery storage system also degrades with time (temporal degradation). The storage shelf life is the period of time in which the battery storage performance degrades to the end-of-life capacity. Li-ion storage systems have a mean shelf life of 13 years. Refer to Schmidt et al. (2018) for shelf life values of other storage technologies.
The temporal degradation factor (% degradation per year) is calculated based on the assumed end-of-life capacity relative to initial capacity and storage shelf life, as:
Cycle degradation = 1 - (end-of-life capacity relatie to initial capacity)^(1/shelf life) 
This is elaborated further in Schmidt et al. 2018 (see sheet </t>
        </r>
        <r>
          <rPr>
            <i/>
            <sz val="9"/>
            <color indexed="81"/>
            <rFont val="Tahoma"/>
            <family val="2"/>
          </rPr>
          <t>Storage references</t>
        </r>
        <r>
          <rPr>
            <sz val="9"/>
            <color indexed="81"/>
            <rFont val="Tahoma"/>
            <family val="2"/>
          </rPr>
          <t>).</t>
        </r>
      </text>
    </comment>
    <comment ref="F66" authorId="0" shapeId="0">
      <text>
        <r>
          <rPr>
            <b/>
            <sz val="9"/>
            <color rgb="FF000000"/>
            <rFont val="Tahoma"/>
            <family val="2"/>
          </rPr>
          <t>Shiv V:</t>
        </r>
        <r>
          <rPr>
            <sz val="9"/>
            <color rgb="FF000000"/>
            <rFont val="Tahoma"/>
            <family val="2"/>
          </rPr>
          <t xml:space="preserve">
</t>
        </r>
        <r>
          <rPr>
            <sz val="9"/>
            <color rgb="FF000000"/>
            <rFont val="Tahoma"/>
            <family val="2"/>
          </rPr>
          <t xml:space="preserve">This value is taken from the sheet </t>
        </r>
        <r>
          <rPr>
            <i/>
            <sz val="9"/>
            <color rgb="FF000000"/>
            <rFont val="Tahoma"/>
            <family val="2"/>
          </rPr>
          <t>Storage charing cost</t>
        </r>
        <r>
          <rPr>
            <sz val="9"/>
            <color rgb="FF000000"/>
            <rFont val="Tahoma"/>
            <family val="2"/>
          </rPr>
          <t>.</t>
        </r>
      </text>
    </comment>
  </commentList>
</comments>
</file>

<file path=xl/comments5.xml><?xml version="1.0" encoding="utf-8"?>
<comments xmlns="http://schemas.openxmlformats.org/spreadsheetml/2006/main">
  <authors>
    <author>Shiv V</author>
  </authors>
  <commentList>
    <comment ref="B5" authorId="0" shapeId="0">
      <text>
        <r>
          <rPr>
            <b/>
            <sz val="9"/>
            <color indexed="81"/>
            <rFont val="Tahoma"/>
            <family val="2"/>
          </rPr>
          <t>Shiv V:</t>
        </r>
        <r>
          <rPr>
            <sz val="9"/>
            <color indexed="81"/>
            <rFont val="Tahoma"/>
            <family val="2"/>
          </rPr>
          <t xml:space="preserve">
This is to account for battery replacement</t>
        </r>
      </text>
    </comment>
    <comment ref="B7" authorId="0" shapeId="0">
      <text>
        <r>
          <rPr>
            <b/>
            <sz val="9"/>
            <color indexed="81"/>
            <rFont val="Tahoma"/>
            <family val="2"/>
          </rPr>
          <t>Shiv V:</t>
        </r>
        <r>
          <rPr>
            <sz val="9"/>
            <color indexed="81"/>
            <rFont val="Tahoma"/>
            <family val="2"/>
          </rPr>
          <t xml:space="preserve">
This is to account for battery replacement.</t>
        </r>
      </text>
    </comment>
    <comment ref="B35" authorId="0" shapeId="0">
      <text>
        <r>
          <rPr>
            <b/>
            <sz val="9"/>
            <color indexed="81"/>
            <rFont val="Tahoma"/>
            <family val="2"/>
          </rPr>
          <t>Shiv V:</t>
        </r>
        <r>
          <rPr>
            <sz val="9"/>
            <color indexed="81"/>
            <rFont val="Tahoma"/>
            <family val="2"/>
          </rPr>
          <t xml:space="preserve">
This is to account for battery replacement</t>
        </r>
      </text>
    </comment>
    <comment ref="B37" authorId="0" shapeId="0">
      <text>
        <r>
          <rPr>
            <b/>
            <sz val="9"/>
            <color indexed="81"/>
            <rFont val="Tahoma"/>
            <family val="2"/>
          </rPr>
          <t>Shiv V:</t>
        </r>
        <r>
          <rPr>
            <sz val="9"/>
            <color indexed="81"/>
            <rFont val="Tahoma"/>
            <family val="2"/>
          </rPr>
          <t xml:space="preserve">
This is to account for battery replacement.</t>
        </r>
      </text>
    </comment>
    <comment ref="B63" authorId="0" shapeId="0">
      <text>
        <r>
          <rPr>
            <b/>
            <sz val="9"/>
            <color indexed="81"/>
            <rFont val="Tahoma"/>
            <family val="2"/>
          </rPr>
          <t>Shiv V:</t>
        </r>
        <r>
          <rPr>
            <sz val="9"/>
            <color indexed="81"/>
            <rFont val="Tahoma"/>
            <family val="2"/>
          </rPr>
          <t xml:space="preserve">
This is to account for battery replacement</t>
        </r>
      </text>
    </comment>
    <comment ref="B65" authorId="0" shapeId="0">
      <text>
        <r>
          <rPr>
            <b/>
            <sz val="9"/>
            <color indexed="81"/>
            <rFont val="Tahoma"/>
            <family val="2"/>
          </rPr>
          <t>Shiv V:</t>
        </r>
        <r>
          <rPr>
            <sz val="9"/>
            <color indexed="81"/>
            <rFont val="Tahoma"/>
            <family val="2"/>
          </rPr>
          <t xml:space="preserve">
This is to account for battery replacement.</t>
        </r>
      </text>
    </comment>
  </commentList>
</comments>
</file>

<file path=xl/comments6.xml><?xml version="1.0" encoding="utf-8"?>
<comments xmlns="http://schemas.openxmlformats.org/spreadsheetml/2006/main">
  <authors>
    <author>Shiv V</author>
  </authors>
  <commentList>
    <comment ref="B4" authorId="0" shapeId="0">
      <text>
        <r>
          <rPr>
            <sz val="9"/>
            <color indexed="81"/>
            <rFont val="Tahoma"/>
            <family val="2"/>
          </rPr>
          <t>2015 is the base year in this case</t>
        </r>
      </text>
    </comment>
    <comment ref="B40" authorId="0" shapeId="0">
      <text>
        <r>
          <rPr>
            <b/>
            <sz val="9"/>
            <color indexed="81"/>
            <rFont val="Tahoma"/>
            <family val="2"/>
          </rPr>
          <t>Shiv V:</t>
        </r>
        <r>
          <rPr>
            <sz val="9"/>
            <color indexed="81"/>
            <rFont val="Tahoma"/>
            <family val="2"/>
          </rPr>
          <t xml:space="preserve">
Data from 2051 is based on extrapolation from previous years.</t>
        </r>
      </text>
    </comment>
  </commentList>
</comments>
</file>

<file path=xl/comments7.xml><?xml version="1.0" encoding="utf-8"?>
<comments xmlns="http://schemas.openxmlformats.org/spreadsheetml/2006/main">
  <authors>
    <author>Shiv V</author>
  </authors>
  <commentList>
    <comment ref="C13" authorId="0" shapeId="0">
      <text>
        <r>
          <rPr>
            <b/>
            <sz val="9"/>
            <color indexed="81"/>
            <rFont val="Tahoma"/>
            <family val="2"/>
          </rPr>
          <t>Shiv V:</t>
        </r>
        <r>
          <rPr>
            <sz val="9"/>
            <color indexed="81"/>
            <rFont val="Tahoma"/>
            <family val="2"/>
          </rPr>
          <t xml:space="preserve">
This includes electrical conductors, fire suppression equipment, insulators, etc.</t>
        </r>
      </text>
    </comment>
  </commentList>
</comments>
</file>

<file path=xl/sharedStrings.xml><?xml version="1.0" encoding="utf-8"?>
<sst xmlns="http://schemas.openxmlformats.org/spreadsheetml/2006/main" count="585" uniqueCount="238">
  <si>
    <t>Unit</t>
  </si>
  <si>
    <t>Equity</t>
  </si>
  <si>
    <t>Debt</t>
  </si>
  <si>
    <t>Interest</t>
  </si>
  <si>
    <t>Debt opening balance</t>
  </si>
  <si>
    <t>Debt repayment</t>
  </si>
  <si>
    <t>Debt closing balance</t>
  </si>
  <si>
    <t>months</t>
  </si>
  <si>
    <t>Interest on Working Capital</t>
  </si>
  <si>
    <t>Return on Equity</t>
  </si>
  <si>
    <t>Discount rate</t>
  </si>
  <si>
    <t>years</t>
  </si>
  <si>
    <t>Working Capital</t>
  </si>
  <si>
    <t>Interest on Term Loan</t>
  </si>
  <si>
    <t>%</t>
  </si>
  <si>
    <t>INR</t>
  </si>
  <si>
    <t>Total debt service</t>
  </si>
  <si>
    <t>Cost of Generation</t>
  </si>
  <si>
    <t>Grid availability factor</t>
  </si>
  <si>
    <t>Operation and Maintenance Expenses</t>
  </si>
  <si>
    <t>Annual increase in Operation and Maintenance Expenses</t>
  </si>
  <si>
    <t>Interest on loan</t>
  </si>
  <si>
    <t>Operation and Maintenance Expenses in year 1</t>
  </si>
  <si>
    <t>Loan tenure</t>
  </si>
  <si>
    <t>Working Capital - O&amp;M</t>
  </si>
  <si>
    <t>Working Capital - Receivables</t>
  </si>
  <si>
    <t>Moratorium</t>
  </si>
  <si>
    <t>Average Cost of Generation</t>
  </si>
  <si>
    <t>kW</t>
  </si>
  <si>
    <t>kWh</t>
  </si>
  <si>
    <t>Auxiliary Consumption</t>
  </si>
  <si>
    <t>Insurance</t>
  </si>
  <si>
    <t>Asset value</t>
  </si>
  <si>
    <t>Percentage of capital cost on which depreciation applies</t>
  </si>
  <si>
    <t>Discount factor</t>
  </si>
  <si>
    <t>Gross capital cost</t>
  </si>
  <si>
    <t>Net capital cost</t>
  </si>
  <si>
    <t>Storage round trip efficiency</t>
  </si>
  <si>
    <t>Depth of Discharge</t>
  </si>
  <si>
    <t>Capital subsidy per kWh</t>
  </si>
  <si>
    <t xml:space="preserve">Cost escalation for input electricty </t>
  </si>
  <si>
    <t>Station heat rate</t>
  </si>
  <si>
    <t>Calorific value</t>
  </si>
  <si>
    <t>Specific fuel consumption</t>
  </si>
  <si>
    <t>Fuel cost</t>
  </si>
  <si>
    <t>kcal/kWh</t>
  </si>
  <si>
    <t>kcal/kg</t>
  </si>
  <si>
    <t>kg/kWh</t>
  </si>
  <si>
    <t>System capital cost per kW</t>
  </si>
  <si>
    <t>Rs/MT</t>
  </si>
  <si>
    <t>Fuel cost escalation</t>
  </si>
  <si>
    <t>Life of plant</t>
  </si>
  <si>
    <t>Capital subsidy per kW</t>
  </si>
  <si>
    <t>Capacity utilisation factor</t>
  </si>
  <si>
    <t>Annual solar panel degradation</t>
  </si>
  <si>
    <t>Total Cost of Generation</t>
  </si>
  <si>
    <t>Cost Of Generation per kWh</t>
  </si>
  <si>
    <t>Present value</t>
  </si>
  <si>
    <t>Levelised Cost of generation</t>
  </si>
  <si>
    <t>Cash Flow</t>
  </si>
  <si>
    <t>Equity IRR</t>
  </si>
  <si>
    <t>Cumulative Cash Flow</t>
  </si>
  <si>
    <t>Insurance (% of depreciated asset value)</t>
  </si>
  <si>
    <t>Rohith C Unni</t>
  </si>
  <si>
    <t>Martin Scherfler</t>
  </si>
  <si>
    <t>Shiv Vembadi</t>
  </si>
  <si>
    <t>Inverter capacity</t>
  </si>
  <si>
    <t>kVA</t>
  </si>
  <si>
    <t>INR/kVA</t>
  </si>
  <si>
    <t>Hr</t>
  </si>
  <si>
    <t>Storage life cycles</t>
  </si>
  <si>
    <t>INR/kWh</t>
  </si>
  <si>
    <t>Outputs</t>
  </si>
  <si>
    <t>Solar PV-specific inputs</t>
  </si>
  <si>
    <t>Cumulative</t>
  </si>
  <si>
    <t>Parameter</t>
  </si>
  <si>
    <t>Year -----&gt;</t>
  </si>
  <si>
    <t>Financials</t>
  </si>
  <si>
    <t>n1 years</t>
  </si>
  <si>
    <t>Depreciation rate for the first n1 years</t>
  </si>
  <si>
    <t>Value</t>
  </si>
  <si>
    <t>Inputs</t>
  </si>
  <si>
    <t>General inputs</t>
  </si>
  <si>
    <t>Biomass/Bagasse-specific inputs</t>
  </si>
  <si>
    <t>Gross generation / kWh input (for Storage)</t>
  </si>
  <si>
    <t>Net generation / kWh available (for Storage)</t>
  </si>
  <si>
    <t>Cost of eletricity</t>
  </si>
  <si>
    <t>Authors:</t>
  </si>
  <si>
    <t>Select Technology:</t>
  </si>
  <si>
    <t>Year</t>
  </si>
  <si>
    <t>Domestic (1-50 kWh)</t>
  </si>
  <si>
    <t>Domestic (51-100 kWh)</t>
  </si>
  <si>
    <t>Domestic (101-250 kWh)</t>
  </si>
  <si>
    <t>Domestic (Above 250 kWh)</t>
  </si>
  <si>
    <t>Public Lighting</t>
  </si>
  <si>
    <t>LT Industries</t>
  </si>
  <si>
    <t>LT Govt. Educational Institution</t>
  </si>
  <si>
    <t>HT Industries</t>
  </si>
  <si>
    <t>HT Commercial</t>
  </si>
  <si>
    <t>HT Govt. Educational Institution</t>
  </si>
  <si>
    <t>LT Pvt. Educational Institution</t>
  </si>
  <si>
    <t>HT Pvt. Educational Institution</t>
  </si>
  <si>
    <t>LT Commercial (Above 50 kWh)</t>
  </si>
  <si>
    <t>Solar PV</t>
  </si>
  <si>
    <t>Cost improvement (%)</t>
  </si>
  <si>
    <t>Time degradation</t>
  </si>
  <si>
    <t>Cycle degradation</t>
  </si>
  <si>
    <t>Charging source</t>
  </si>
  <si>
    <t>Custom</t>
  </si>
  <si>
    <t>Storage shelf life</t>
  </si>
  <si>
    <t>O&amp;M expenses in Year 1 - Energy</t>
  </si>
  <si>
    <t>O&amp;M expenses in Year 1 - Power</t>
  </si>
  <si>
    <t>Life of solar plant</t>
  </si>
  <si>
    <t>Depreciation rate</t>
  </si>
  <si>
    <t>Annual Depreciation</t>
  </si>
  <si>
    <t>Annual depreciation</t>
  </si>
  <si>
    <t>year</t>
  </si>
  <si>
    <t>Storage cost timeline</t>
  </si>
  <si>
    <t>Cost (Rs/kWh)</t>
  </si>
  <si>
    <t>kWh input for storage</t>
  </si>
  <si>
    <t>kWh available from storage</t>
  </si>
  <si>
    <t>Solar PV generation</t>
  </si>
  <si>
    <t>CUF</t>
  </si>
  <si>
    <t>System capital cost per kW (w/o solar PCU cost)</t>
  </si>
  <si>
    <t>EPC cost</t>
  </si>
  <si>
    <t>Storage rack and others</t>
  </si>
  <si>
    <t>Inverter replacement year</t>
  </si>
  <si>
    <t>Cost improvement in replacement year</t>
  </si>
  <si>
    <t>Storage operation year</t>
  </si>
  <si>
    <t>Inverter cost timeline</t>
  </si>
  <si>
    <t>Inverter operation year</t>
  </si>
  <si>
    <t>Inverter capital cost per kWh in year n</t>
  </si>
  <si>
    <t>Capital cost</t>
  </si>
  <si>
    <t>Solar PV cost timeline</t>
  </si>
  <si>
    <t>Select Technology/Scenario:</t>
  </si>
  <si>
    <t>LCOS</t>
  </si>
  <si>
    <t>Storage cycles/year at 100% DoD</t>
  </si>
  <si>
    <t>Storage duration</t>
  </si>
  <si>
    <t>Storage capital cost</t>
  </si>
  <si>
    <t>Inverter cost improvement in replacement year</t>
  </si>
  <si>
    <t>Inverter capital cost</t>
  </si>
  <si>
    <t>Solar PV capacity</t>
  </si>
  <si>
    <t>INR/kW</t>
  </si>
  <si>
    <t>Solar PV capital cost (w/o inverter)</t>
  </si>
  <si>
    <t>Installation year</t>
  </si>
  <si>
    <t>Standalone Storage (LT Industry)</t>
  </si>
  <si>
    <t>Solar+Storage (LT Industry)</t>
  </si>
  <si>
    <t>Solar PV capital cost per kWh in year n</t>
  </si>
  <si>
    <t>Solar operation year</t>
  </si>
  <si>
    <t>Cost for storage container and others</t>
  </si>
  <si>
    <t>Assumption</t>
  </si>
  <si>
    <t>Wind</t>
  </si>
  <si>
    <t>Biomass</t>
  </si>
  <si>
    <t>Bagasse</t>
  </si>
  <si>
    <t>Small Hydro</t>
  </si>
  <si>
    <t>First 13 years: 5.28%
After: 0.97</t>
  </si>
  <si>
    <t>REFERENCES</t>
  </si>
  <si>
    <t>Order on generic tariff for solar power and related issues</t>
  </si>
  <si>
    <t>Order on generic tariff for wind power and related issues</t>
  </si>
  <si>
    <t>Comprehensive tariff order for Biomass based power plants</t>
  </si>
  <si>
    <t>Comprehensive tariff order for bagasse based co-generation power plants</t>
  </si>
  <si>
    <t>CERC RE Tariff order 2018-19</t>
  </si>
  <si>
    <t>kCal/kWh</t>
  </si>
  <si>
    <t>kCal/kg</t>
  </si>
  <si>
    <t>INR/MT</t>
  </si>
  <si>
    <t>Economic Life</t>
  </si>
  <si>
    <t xml:space="preserve">Calorific value </t>
  </si>
  <si>
    <t>Fuel rate</t>
  </si>
  <si>
    <t>Annual degradation</t>
  </si>
  <si>
    <t>Capital cost on which depreciation rate applies</t>
  </si>
  <si>
    <t>Working Capital – Receivables</t>
  </si>
  <si>
    <t>Depreciation Rate</t>
  </si>
  <si>
    <t>Interest on working capital - O&amp;M</t>
  </si>
  <si>
    <t>Operation and Maintenance wcap</t>
  </si>
  <si>
    <t>Maintenance spares wcap</t>
  </si>
  <si>
    <t>Fuel cost wcap</t>
  </si>
  <si>
    <t>Receivables wcap</t>
  </si>
  <si>
    <t>Interest on reveivables wcap</t>
  </si>
  <si>
    <t>Annual depreciation (on gross capital cost)</t>
  </si>
  <si>
    <t>Annual depreciation (on net capital cost)</t>
  </si>
  <si>
    <t>Depreciation (on net capital cost)</t>
  </si>
  <si>
    <t>Depreciation (on gross capital cost)</t>
  </si>
  <si>
    <t>Annual depreciation after n1 years (on gross capex)</t>
  </si>
  <si>
    <t>Annual depreciation after n1 years (on net capex)</t>
  </si>
  <si>
    <t>Annual depreciation for first n1 years (on gross capex)</t>
  </si>
  <si>
    <t>Annual depreciation for first n1 years (on net capex)</t>
  </si>
  <si>
    <t>Return on equity</t>
  </si>
  <si>
    <t>Interest on term loan</t>
  </si>
  <si>
    <t>Interest on working capital</t>
  </si>
  <si>
    <t>Total cost of generation</t>
  </si>
  <si>
    <t>Cost of generation per kWh</t>
  </si>
  <si>
    <t>Levelised cost of generation</t>
  </si>
  <si>
    <t>Average cost of generation</t>
  </si>
  <si>
    <t>Working capital - Maintenance spares</t>
  </si>
  <si>
    <t>Working capital - Receivables</t>
  </si>
  <si>
    <t>Working capital - O&amp;M</t>
  </si>
  <si>
    <t>Working capital - Fuel</t>
  </si>
  <si>
    <t>Annual increase in Operation and Maintenance expenses</t>
  </si>
  <si>
    <t>Auxiliary consumption</t>
  </si>
  <si>
    <t>Introduction to the levelised cost calculator</t>
  </si>
  <si>
    <t>Notes on using the Calculator</t>
  </si>
  <si>
    <t>Levelised Cost Calculator for Distributed Energy Resources</t>
  </si>
  <si>
    <t>This sheet shows the LCOE calculations</t>
  </si>
  <si>
    <t>This sheet shows the LCOS calculations</t>
  </si>
  <si>
    <t>Base year for LCOS calculation</t>
  </si>
  <si>
    <t>Current year</t>
  </si>
  <si>
    <t>-</t>
  </si>
  <si>
    <t>System size &amp; outputs</t>
  </si>
  <si>
    <t>Battery capacity</t>
  </si>
  <si>
    <t>Battery life</t>
  </si>
  <si>
    <t>Solar PV size</t>
  </si>
  <si>
    <t>Plant size</t>
  </si>
  <si>
    <t>Li-ion storage cost improvement curve</t>
  </si>
  <si>
    <t>Battery pack capital cost per kWh in current year</t>
  </si>
  <si>
    <t>Battery pack capital cost per kWh in base year</t>
  </si>
  <si>
    <t>Battery pack cost per kWh in year n</t>
  </si>
  <si>
    <t xml:space="preserve">This tool uses the cost improvement curve on this sheet to calculate the future cost of Li-ion storage modules. The cost curve is based on the following reference: 
Schmidt, O., Melchior, S., Hawkes, A., and Staffell, I. (2018). The future cost of electrical energy storage based on experience rates:dataset. Figshare Digital Repository (2018). Available at: https://doi.org/10.6084/m9.figshare.
Historical inverter price trends (global and Indian context) are noted at: https://renewablewatch.in/2017/10/24/solar-inverter-trends/
MNRE's benchmark capital costs for rooftop solar provide a reference for historical price trends in solar PV.
</t>
  </si>
  <si>
    <t>Version:</t>
  </si>
  <si>
    <t>Electricity tariff for charging battery</t>
  </si>
  <si>
    <t>Excess solar generation available for storage</t>
  </si>
  <si>
    <t>Consumer category</t>
  </si>
  <si>
    <t>Solar generated passing through battery (Year 1)</t>
  </si>
  <si>
    <t>Solar exported (Year 1)</t>
  </si>
  <si>
    <t>Storage duration (E to P ratio) at 100% DoD</t>
  </si>
  <si>
    <t>v1.0, October 2020</t>
  </si>
  <si>
    <t>Storage cycles per year at given DoD</t>
  </si>
  <si>
    <t>End of life capacity relative to initial capacity</t>
  </si>
  <si>
    <t>Inverter-specific inputs</t>
  </si>
  <si>
    <t>Battery storage-specific inputs</t>
  </si>
  <si>
    <t>cycles</t>
  </si>
  <si>
    <t>Storage cycle life</t>
  </si>
  <si>
    <t>Battery power capacity</t>
  </si>
  <si>
    <t>Solar+Storage</t>
  </si>
  <si>
    <r>
      <rPr>
        <sz val="10"/>
        <color theme="2" tint="-0.749992370372631"/>
        <rFont val="Calibri"/>
        <family val="2"/>
        <scheme val="minor"/>
      </rPr>
      <t xml:space="preserve">▪ Make sure Macros are enabled in the Security Settings
▪ Use the Inputs and Results sheets to enter the inputs. The levelised cost is displayed on the same sheet.
</t>
    </r>
    <r>
      <rPr>
        <i/>
        <sz val="10"/>
        <color theme="2" tint="-0.749992370372631"/>
        <rFont val="Calibri"/>
        <family val="2"/>
        <scheme val="minor"/>
      </rPr>
      <t>▪ Please also go through comments added to cells, wherever applicable, for more details</t>
    </r>
    <r>
      <rPr>
        <sz val="10"/>
        <color theme="2" tint="-0.749992370372631"/>
        <rFont val="Calibri"/>
        <family val="2"/>
        <scheme val="minor"/>
      </rPr>
      <t xml:space="preserve">
▪ The </t>
    </r>
    <r>
      <rPr>
        <sz val="10"/>
        <color rgb="FFF18E77"/>
        <rFont val="Calibri"/>
        <family val="2"/>
        <scheme val="minor"/>
      </rPr>
      <t>RE LCOE calc</t>
    </r>
    <r>
      <rPr>
        <sz val="10"/>
        <color theme="1"/>
        <rFont val="Calibri"/>
        <family val="2"/>
        <scheme val="minor"/>
      </rPr>
      <t xml:space="preserve"> and </t>
    </r>
    <r>
      <rPr>
        <sz val="10"/>
        <color theme="2" tint="-0.249977111117893"/>
        <rFont val="Calibri"/>
        <family val="2"/>
        <scheme val="minor"/>
      </rPr>
      <t>LCOS calc</t>
    </r>
    <r>
      <rPr>
        <sz val="10"/>
        <color theme="8"/>
        <rFont val="Calibri (Body)"/>
      </rPr>
      <t xml:space="preserve"> </t>
    </r>
    <r>
      <rPr>
        <sz val="10"/>
        <color theme="2" tint="-0.749992370372631"/>
        <rFont val="Calibri"/>
        <family val="2"/>
        <scheme val="minor"/>
      </rPr>
      <t xml:space="preserve">sheets contains the levelised cost calculations
▪ The </t>
    </r>
    <r>
      <rPr>
        <i/>
        <sz val="10"/>
        <color theme="2" tint="-0.749992370372631"/>
        <rFont val="Calibri"/>
        <family val="2"/>
        <scheme val="minor"/>
      </rPr>
      <t>Inputs and Results</t>
    </r>
    <r>
      <rPr>
        <sz val="10"/>
        <color theme="2" tint="-0.749992370372631"/>
        <rFont val="Calibri"/>
        <family val="2"/>
        <scheme val="minor"/>
      </rPr>
      <t xml:space="preserve"> sheets have two areas: Inputs area for entering inputs, the Outputs are are where the results are displayed, including the levelised cost:
   ▫ In the Inputs area, there is a general set of inputs, and then technology-specific inputs (which will 
      only apply to a particular  technology)
   ▫ In the Inputs area, the grey-colored values are the ones that reset to their defaults when a particular RE Technology or storage
      scenario is selected. Other input values don't have any defaults.   
▪ In the case of Storage, debt (and the the debt repayment calculation) has been considered seperately for the storage system,  the inverter and the solar PV plant
▪ In the  </t>
    </r>
    <r>
      <rPr>
        <sz val="10"/>
        <color rgb="FFF18E77"/>
        <rFont val="Calibri"/>
        <family val="2"/>
        <scheme val="minor"/>
      </rPr>
      <t>RE LCOE calc</t>
    </r>
    <r>
      <rPr>
        <sz val="10"/>
        <color theme="2" tint="-0.749992370372631"/>
        <rFont val="Calibri"/>
        <family val="2"/>
        <scheme val="minor"/>
      </rPr>
      <t xml:space="preserve"> sheet, even though the various parameters are calculated for 35 years, the LCOE is calculated only considering  the number of years of plant life: e.g., 20 years in the case of Biomass.
▪ Simlar, in the  </t>
    </r>
    <r>
      <rPr>
        <sz val="10"/>
        <color theme="2" tint="-0.249977111117893"/>
        <rFont val="Calibri"/>
        <family val="2"/>
        <scheme val="minor"/>
      </rPr>
      <t>LCOS calc</t>
    </r>
    <r>
      <rPr>
        <i/>
        <sz val="10"/>
        <color theme="2" tint="-0.749992370372631"/>
        <rFont val="Calibri"/>
        <family val="2"/>
        <scheme val="minor"/>
      </rPr>
      <t xml:space="preserve"> </t>
    </r>
    <r>
      <rPr>
        <sz val="10"/>
        <color theme="2" tint="-0.749992370372631"/>
        <rFont val="Calibri"/>
        <family val="2"/>
        <scheme val="minor"/>
      </rPr>
      <t>sheet, for the scenario Solar PV + Storage, the levelised cost corresponds to the plant life of the solar PV.
▪ For calculating depreciation, straight line method is used. The annual is calculated as a percentage of the net capital cost.
▪ In the case of storage, in the absence of any tariff determination regulations on the same, the default depreciation rates for the storage system and for the inverter is such that the residual value (at the end of life) is 10% of the initial capital cost.
▪ The insurance is calculated as a perentage of the net asset value or is part of O&amp;M expense, depending on the technology.
▪ In case of Small Hydro, the inputs are the average of normative values fixed by CERC for states other than Himachal Pradesh, Uttarakhand, West Bengal and N.E. states for the two size categories: below 5 MW, and between 5 MW to 25 MW.</t>
    </r>
  </si>
  <si>
    <r>
      <rPr>
        <sz val="10"/>
        <color theme="2" tint="-0.749992370372631"/>
        <rFont val="Calibri"/>
        <family val="2"/>
      </rPr>
      <t xml:space="preserve">The tool has been developed to calculate levelised cost of RE </t>
    </r>
    <r>
      <rPr>
        <sz val="10"/>
        <color rgb="FFF18E77"/>
        <rFont val="Calibri"/>
        <family val="2"/>
      </rPr>
      <t>(orange sheets)</t>
    </r>
    <r>
      <rPr>
        <sz val="10"/>
        <color theme="2" tint="-0.749992370372631"/>
        <rFont val="Calibri"/>
        <family val="2"/>
      </rPr>
      <t xml:space="preserve"> and energy storage </t>
    </r>
    <r>
      <rPr>
        <sz val="10"/>
        <color theme="2" tint="-0.249977111117893"/>
        <rFont val="Calibri"/>
        <family val="2"/>
      </rPr>
      <t>(blue sheets)</t>
    </r>
    <r>
      <rPr>
        <sz val="10"/>
        <color theme="2" tint="-0.749992370372631"/>
        <rFont val="Calibri"/>
        <family val="2"/>
      </rPr>
      <t xml:space="preserve">. The sheet </t>
    </r>
    <r>
      <rPr>
        <sz val="10"/>
        <color rgb="FFF18E77"/>
        <rFont val="Calibri"/>
        <family val="2"/>
      </rPr>
      <t>RE LCOE</t>
    </r>
    <r>
      <rPr>
        <sz val="10"/>
        <color theme="1"/>
        <rFont val="Calibri"/>
        <family val="2"/>
      </rPr>
      <t xml:space="preserve"> </t>
    </r>
    <r>
      <rPr>
        <sz val="10"/>
        <color theme="2" tint="-0.749992370372631"/>
        <rFont val="Calibri"/>
        <family val="2"/>
      </rPr>
      <t xml:space="preserve">calc contains the calculation for the levelised cost of energy (LCOE) for a specific RE technology, based on inputs entered in the sheet </t>
    </r>
    <r>
      <rPr>
        <sz val="10"/>
        <color rgb="FFF18E77"/>
        <rFont val="Calibri"/>
        <family val="2"/>
      </rPr>
      <t>RE Inputs &amp; Results</t>
    </r>
    <r>
      <rPr>
        <sz val="10"/>
        <color theme="2" tint="-0.749992370372631"/>
        <rFont val="Calibri"/>
        <family val="2"/>
      </rPr>
      <t xml:space="preserve">. The sheet </t>
    </r>
    <r>
      <rPr>
        <sz val="10"/>
        <color theme="2" tint="-0.249977111117893"/>
        <rFont val="Calibri"/>
        <family val="2"/>
      </rPr>
      <t>LCOS calc</t>
    </r>
    <r>
      <rPr>
        <i/>
        <sz val="10"/>
        <color theme="2" tint="-0.749992370372631"/>
        <rFont val="Calibri"/>
        <family val="2"/>
      </rPr>
      <t xml:space="preserve"> </t>
    </r>
    <r>
      <rPr>
        <sz val="10"/>
        <color theme="2" tint="-0.749992370372631"/>
        <rFont val="Calibri"/>
        <family val="2"/>
      </rPr>
      <t xml:space="preserve">contains the calculation for levelised cost of storage (LCOS), based on inputs entered in the sheet </t>
    </r>
    <r>
      <rPr>
        <sz val="10"/>
        <color theme="2" tint="-0.249977111117893"/>
        <rFont val="Calibri"/>
        <family val="2"/>
      </rPr>
      <t>Storage Inputs &amp; Results</t>
    </r>
    <r>
      <rPr>
        <sz val="10"/>
        <color theme="8"/>
        <rFont val="Calibri"/>
        <family val="2"/>
      </rPr>
      <t xml:space="preserve">. </t>
    </r>
    <r>
      <rPr>
        <sz val="10"/>
        <color theme="1"/>
        <rFont val="Calibri"/>
        <family val="2"/>
      </rPr>
      <t xml:space="preserve">
  ▪ </t>
    </r>
    <r>
      <rPr>
        <sz val="10"/>
        <color theme="2" tint="-0.749992370372631"/>
        <rFont val="Calibri"/>
        <family val="2"/>
      </rPr>
      <t xml:space="preserve"> LCOE can be calculated for Solar PV, Wind, Biomass, Bagasse and Small Hydro. The default input values have been taken from tariff orders, which are noted in the sheet Reference values</t>
    </r>
    <r>
      <rPr>
        <i/>
        <sz val="10"/>
        <color theme="2" tint="-0.749992370372631"/>
        <rFont val="Calibri"/>
        <family val="2"/>
      </rPr>
      <t>.</t>
    </r>
    <r>
      <rPr>
        <sz val="10"/>
        <color theme="2" tint="-0.749992370372631"/>
        <rFont val="Calibri"/>
        <family val="2"/>
      </rPr>
      <t xml:space="preserve"> 
  ▪  LCOS can be calculated for different storage scenarios, including: Solar PV + LI-ion storage (medium capacity), and Standalone Li-ion storage. </t>
    </r>
    <r>
      <rPr>
        <i/>
        <sz val="10"/>
        <color theme="2" tint="-0.749992370372631"/>
        <rFont val="Calibri"/>
        <family val="2"/>
      </rPr>
      <t>(Use Scenario Manager to select other in-built scenarios.)</t>
    </r>
    <r>
      <rPr>
        <sz val="10"/>
        <color theme="2" tint="-0.749992370372631"/>
        <rFont val="Calibri"/>
        <family val="2"/>
      </rPr>
      <t xml:space="preserve"> The cost inputs are divided into following components: solar PV, inverter cost, power capacity (kW) component of the battery storage system, and energy capacity (kWh) component of the battery system. The power capacity costs (INR/kW) takes into account the costs of balance of system (BOS) and the EPC. The energy capacity costs takes into account the cost of the battery pack. Further, see Storage Inputs &amp; Results for details on cost inputs for the storage system.
  ▪  The LCOS methodology is applicable to any storage technology, such as lead acid battery, vanadium redox flow battery, hydrogen storage </t>
    </r>
    <r>
      <rPr>
        <sz val="10"/>
        <color theme="2" tint="-0.749992370372631"/>
        <rFont val="Symbol"/>
        <family val="1"/>
        <charset val="2"/>
      </rPr>
      <t>-</t>
    </r>
    <r>
      <rPr>
        <sz val="10"/>
        <color theme="2" tint="-0.749992370372631"/>
        <rFont val="Calibri"/>
        <family val="2"/>
      </rPr>
      <t xml:space="preserve"> with the correct input parameters. The in-built scenarios are currently only for Li-ion application.
LCOS calculation takes into account the storage module replacement and inverter replacement at the end of their lives (the EPC and BOS costs for the energy storage system are assumed constant for replacement).
For LCOS calculation, one of the inputs is the </t>
    </r>
    <r>
      <rPr>
        <i/>
        <sz val="10"/>
        <color theme="2" tint="-0.749992370372631"/>
        <rFont val="Calibri"/>
        <family val="2"/>
      </rPr>
      <t>base year</t>
    </r>
    <r>
      <rPr>
        <sz val="10"/>
        <color theme="2" tint="-0.749992370372631"/>
        <rFont val="Calibri"/>
        <family val="2"/>
      </rPr>
      <t xml:space="preserve">for calculating the LCOS. For calculation of LCOS in a future base year (e.g., 2030), future Li-ion module costs (both initial cost in Year 1 and replacement costs later) are calculated based on the cost in the </t>
    </r>
    <r>
      <rPr>
        <i/>
        <sz val="10"/>
        <color theme="2" tint="-0.749992370372631"/>
        <rFont val="Calibri"/>
        <family val="2"/>
      </rPr>
      <t>Current year</t>
    </r>
    <r>
      <rPr>
        <sz val="10"/>
        <color theme="2" tint="-0.749992370372631"/>
        <rFont val="Calibri"/>
        <family val="2"/>
      </rPr>
      <t xml:space="preserve"> and the cost improvement curve given in </t>
    </r>
    <r>
      <rPr>
        <sz val="10"/>
        <color theme="2" tint="-0.249977111117893"/>
        <rFont val="Calibri"/>
        <family val="2"/>
      </rPr>
      <t>Cost projections</t>
    </r>
    <r>
      <rPr>
        <sz val="10"/>
        <color theme="2" tint="-0.749992370372631"/>
        <rFont val="Calibri"/>
        <family val="2"/>
      </rPr>
      <t xml:space="preserve"> sheet. The sheet also provides other references on historical solar inverter and solar PV capital cost trends. To input future costs of inverter and solar PV for LCOS calculations, the user can make reasonable assumptions based on these.</t>
    </r>
  </si>
  <si>
    <t>hr</t>
  </si>
  <si>
    <r>
      <rPr>
        <sz val="11"/>
        <color theme="2" tint="-0.749992370372631"/>
        <rFont val="Cambria"/>
        <family val="1"/>
        <scheme val="major"/>
      </rPr>
      <t>Acknowledgment</t>
    </r>
    <r>
      <rPr>
        <sz val="9"/>
        <color theme="2" tint="-0.749992370372631"/>
        <rFont val="Verdana"/>
        <family val="2"/>
      </rPr>
      <t xml:space="preserve">
</t>
    </r>
    <r>
      <rPr>
        <sz val="10"/>
        <color theme="2" tint="-0.749992370372631"/>
        <rFont val="Calibri"/>
        <family val="2"/>
        <scheme val="minor"/>
      </rPr>
      <t>This work forms part of the Sustainable Energy Transformation, Tamil Nadu (SET-TN) series of documents and activities. SET aims to facilitate higher clean energy deployment in the State by working with stakeholders in order to find sustainable and equitable solutions. SET is a collaborative initiative by Auroville Consulting (AVC), Citizen Consumer and civic Action Group (CAG), the World Resources Institute India (WRI).</t>
    </r>
  </si>
  <si>
    <t>Inverter capital cost per kW in base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</si>
</sst>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1" formatCode="_(* #,##0_);_(* \(#,##0\);_(* &quot;-&quot;_);_(@_)"/>
    <numFmt numFmtId="43" formatCode="_(* #,##0.00_);_(* \(#,##0.00\);_(* &quot;-&quot;??_);_(@_)"/>
    <numFmt numFmtId="164" formatCode="&quot;€&quot;#,##0.00_);[Red]\(&quot;€&quot;#,##0.00\)"/>
    <numFmt numFmtId="165" formatCode="_(* #,##0.000_);_(* \(#,##0.000\);_(* &quot;-&quot;???_);_(@_)"/>
    <numFmt numFmtId="166" formatCode="_(* #,##0_);_(* \(#,##0\);_(* &quot;-&quot;??_);_(@_)"/>
    <numFmt numFmtId="167" formatCode="_(* #,##0.000_);_(* \(#,##0.000\);_(* &quot;-&quot;??_);_(@_)"/>
    <numFmt numFmtId="168" formatCode="_ * #,##0.00_ ;_ * \-#,##0.00_ ;_ * &quot;-&quot;??_ ;_ @_ "/>
    <numFmt numFmtId="169" formatCode="0.0%"/>
    <numFmt numFmtId="170" formatCode="0.0000%"/>
  </numFmts>
  <fonts count="69">
    <font>
      <sz val="9"/>
      <color theme="1"/>
      <name val="Verdana"/>
      <family val="2"/>
    </font>
    <font>
      <sz val="11"/>
      <color theme="1"/>
      <name val="Calibri"/>
      <family val="2"/>
      <scheme val="minor"/>
    </font>
    <font>
      <sz val="11"/>
      <color theme="1"/>
      <name val="Calibri"/>
      <family val="2"/>
      <scheme val="minor"/>
    </font>
    <font>
      <sz val="11"/>
      <color theme="1"/>
      <name val="Calibri"/>
      <family val="2"/>
      <scheme val="minor"/>
    </font>
    <font>
      <b/>
      <sz val="9"/>
      <color theme="1"/>
      <name val="Verdana"/>
      <family val="2"/>
    </font>
    <font>
      <i/>
      <sz val="9"/>
      <color theme="1"/>
      <name val="Verdana"/>
      <family val="2"/>
    </font>
    <font>
      <sz val="8"/>
      <name val="Times New Roman"/>
      <family val="1"/>
    </font>
    <font>
      <sz val="10"/>
      <name val="MS Sans Serif"/>
      <family val="2"/>
    </font>
    <font>
      <sz val="9"/>
      <color theme="0" tint="-0.34998626667073579"/>
      <name val="Verdana"/>
      <family val="2"/>
    </font>
    <font>
      <b/>
      <sz val="10"/>
      <color theme="1"/>
      <name val="Verdana"/>
      <family val="2"/>
    </font>
    <font>
      <sz val="9"/>
      <name val="Verdana"/>
      <family val="2"/>
    </font>
    <font>
      <sz val="14"/>
      <color theme="1"/>
      <name val="Verdana"/>
      <family val="2"/>
    </font>
    <font>
      <sz val="9"/>
      <color theme="1"/>
      <name val="Verdana"/>
      <family val="2"/>
    </font>
    <font>
      <u/>
      <sz val="9"/>
      <color theme="10"/>
      <name val="Verdana"/>
      <family val="2"/>
    </font>
    <font>
      <u/>
      <sz val="9"/>
      <color theme="11"/>
      <name val="Verdana"/>
      <family val="2"/>
    </font>
    <font>
      <sz val="9"/>
      <color indexed="81"/>
      <name val="Tahoma"/>
      <family val="2"/>
    </font>
    <font>
      <b/>
      <sz val="9"/>
      <color indexed="81"/>
      <name val="Tahoma"/>
      <family val="2"/>
    </font>
    <font>
      <sz val="9"/>
      <color theme="2" tint="-0.749992370372631"/>
      <name val="Verdana"/>
      <family val="2"/>
    </font>
    <font>
      <i/>
      <sz val="9"/>
      <color theme="2" tint="-0.749992370372631"/>
      <name val="Verdana"/>
      <family val="2"/>
    </font>
    <font>
      <sz val="11"/>
      <color theme="2" tint="-0.749992370372631"/>
      <name val="Calibri Light"/>
      <family val="2"/>
    </font>
    <font>
      <sz val="11"/>
      <color theme="1"/>
      <name val="Calibri Light"/>
      <family val="2"/>
    </font>
    <font>
      <sz val="9"/>
      <color theme="1" tint="0.34998626667073579"/>
      <name val="Verdana"/>
      <family val="2"/>
    </font>
    <font>
      <i/>
      <sz val="9"/>
      <color theme="1" tint="0.34998626667073579"/>
      <name val="Verdana"/>
      <family val="2"/>
    </font>
    <font>
      <b/>
      <sz val="9"/>
      <color theme="2" tint="-0.749992370372631"/>
      <name val="Verdana"/>
      <family val="2"/>
    </font>
    <font>
      <b/>
      <i/>
      <sz val="9"/>
      <color theme="2" tint="-0.749992370372631"/>
      <name val="Verdana"/>
      <family val="2"/>
    </font>
    <font>
      <sz val="10"/>
      <color theme="2" tint="-0.749992370372631"/>
      <name val="Calibri"/>
      <family val="2"/>
      <scheme val="minor"/>
    </font>
    <font>
      <b/>
      <sz val="10"/>
      <color theme="2" tint="-0.749992370372631"/>
      <name val="Calibri"/>
      <family val="2"/>
      <scheme val="minor"/>
    </font>
    <font>
      <sz val="10"/>
      <color theme="1" tint="0.34998626667073579"/>
      <name val="Calibri"/>
      <family val="2"/>
      <scheme val="minor"/>
    </font>
    <font>
      <sz val="10"/>
      <color rgb="FFF18E77"/>
      <name val="Calibri"/>
      <family val="2"/>
      <scheme val="minor"/>
    </font>
    <font>
      <sz val="10"/>
      <color rgb="FFA3A3A3"/>
      <name val="Calibri"/>
      <family val="2"/>
      <scheme val="minor"/>
    </font>
    <font>
      <b/>
      <sz val="11"/>
      <color theme="2" tint="-0.749992370372631"/>
      <name val="Calibri Light"/>
      <family val="2"/>
    </font>
    <font>
      <sz val="10"/>
      <color theme="1"/>
      <name val="Calibri Light"/>
      <family val="2"/>
    </font>
    <font>
      <sz val="10"/>
      <color theme="1"/>
      <name val="Calibri"/>
      <family val="2"/>
    </font>
    <font>
      <sz val="22"/>
      <color rgb="FFF18E77"/>
      <name val="Calibri Light"/>
      <family val="2"/>
    </font>
    <font>
      <sz val="10"/>
      <color rgb="FFF18E77"/>
      <name val="Calibri"/>
      <family val="2"/>
    </font>
    <font>
      <sz val="9"/>
      <color theme="0"/>
      <name val="Verdana"/>
      <family val="2"/>
    </font>
    <font>
      <sz val="10"/>
      <color theme="1"/>
      <name val="Calibri"/>
      <family val="2"/>
      <scheme val="minor"/>
    </font>
    <font>
      <sz val="11"/>
      <color theme="2" tint="-0.749992370372631"/>
      <name val="Calibri"/>
      <family val="2"/>
      <scheme val="minor"/>
    </font>
    <font>
      <sz val="11"/>
      <color rgb="FFF18E77"/>
      <name val="Calibri"/>
      <family val="2"/>
      <scheme val="minor"/>
    </font>
    <font>
      <b/>
      <sz val="11"/>
      <color theme="1"/>
      <name val="Calibri"/>
      <family val="2"/>
    </font>
    <font>
      <sz val="11"/>
      <color theme="1"/>
      <name val="Calibri"/>
      <family val="2"/>
    </font>
    <font>
      <sz val="10"/>
      <color theme="2" tint="-0.749992370372631"/>
      <name val="Calibri"/>
      <family val="2"/>
    </font>
    <font>
      <i/>
      <sz val="10"/>
      <color theme="2" tint="-0.749992370372631"/>
      <name val="Calibri"/>
      <family val="2"/>
    </font>
    <font>
      <sz val="10"/>
      <color theme="2" tint="-0.749992370372631"/>
      <name val="Verdana"/>
      <family val="2"/>
    </font>
    <font>
      <sz val="11"/>
      <color theme="2" tint="-0.749992370372631"/>
      <name val="Calibri"/>
      <family val="2"/>
    </font>
    <font>
      <i/>
      <sz val="11"/>
      <color theme="2" tint="-0.749992370372631"/>
      <name val="Calibri"/>
      <family val="2"/>
    </font>
    <font>
      <u/>
      <sz val="10"/>
      <color theme="2" tint="-0.749992370372631"/>
      <name val="Calibri"/>
      <family val="2"/>
      <scheme val="minor"/>
    </font>
    <font>
      <i/>
      <sz val="9"/>
      <color indexed="81"/>
      <name val="Tahoma"/>
      <family val="2"/>
    </font>
    <font>
      <b/>
      <sz val="11"/>
      <color theme="1"/>
      <name val="Calibri"/>
      <family val="2"/>
      <scheme val="minor"/>
    </font>
    <font>
      <sz val="12"/>
      <color rgb="FFF18E77"/>
      <name val="Calibri"/>
      <family val="2"/>
      <scheme val="minor"/>
    </font>
    <font>
      <b/>
      <sz val="12"/>
      <color rgb="FFF18E77"/>
      <name val="Calibri"/>
      <family val="2"/>
      <scheme val="minor"/>
    </font>
    <font>
      <sz val="11"/>
      <color theme="2" tint="-0.749992370372631"/>
      <name val="Cambria"/>
      <family val="1"/>
      <scheme val="major"/>
    </font>
    <font>
      <sz val="9"/>
      <color theme="2" tint="-0.749992370372631"/>
      <name val="Calibri"/>
      <family val="2"/>
      <scheme val="minor"/>
    </font>
    <font>
      <sz val="22"/>
      <color rgb="FFF18E77"/>
      <name val="Cambria"/>
      <family val="1"/>
      <scheme val="major"/>
    </font>
    <font>
      <sz val="22"/>
      <color theme="1"/>
      <name val="Cambria"/>
      <family val="1"/>
      <scheme val="major"/>
    </font>
    <font>
      <sz val="14"/>
      <color theme="1"/>
      <name val="Cambria"/>
      <family val="1"/>
      <scheme val="major"/>
    </font>
    <font>
      <sz val="9"/>
      <color theme="1"/>
      <name val="Cambria"/>
      <family val="1"/>
      <scheme val="major"/>
    </font>
    <font>
      <sz val="10"/>
      <color theme="8"/>
      <name val="Calibri"/>
      <family val="2"/>
    </font>
    <font>
      <sz val="10"/>
      <color theme="8"/>
      <name val="Calibri (Body)"/>
    </font>
    <font>
      <b/>
      <sz val="9"/>
      <color rgb="FF000000"/>
      <name val="Tahoma"/>
      <family val="2"/>
    </font>
    <font>
      <sz val="9"/>
      <color rgb="FF000000"/>
      <name val="Tahoma"/>
      <family val="2"/>
    </font>
    <font>
      <sz val="12"/>
      <color theme="2" tint="-0.749992370372631"/>
      <name val="Cambria"/>
      <family val="1"/>
      <scheme val="major"/>
    </font>
    <font>
      <i/>
      <sz val="10"/>
      <color theme="2" tint="-0.749992370372631"/>
      <name val="Calibri"/>
      <family val="2"/>
      <scheme val="minor"/>
    </font>
    <font>
      <b/>
      <sz val="11"/>
      <color theme="2" tint="-0.749992370372631"/>
      <name val="Calibri"/>
      <family val="2"/>
      <scheme val="minor"/>
    </font>
    <font>
      <i/>
      <sz val="9"/>
      <color rgb="FF000000"/>
      <name val="Tahoma"/>
      <family val="2"/>
    </font>
    <font>
      <sz val="8"/>
      <color rgb="FF000000"/>
      <name val="Segoe UI"/>
      <family val="2"/>
    </font>
    <font>
      <sz val="10"/>
      <color theme="2" tint="-0.249977111117893"/>
      <name val="Calibri"/>
      <family val="2"/>
      <scheme val="minor"/>
    </font>
    <font>
      <sz val="10"/>
      <color theme="2" tint="-0.249977111117893"/>
      <name val="Calibri"/>
      <family val="2"/>
    </font>
    <font>
      <sz val="10"/>
      <color theme="2" tint="-0.749992370372631"/>
      <name val="Symbol"/>
      <family val="1"/>
      <charset val="2"/>
    </font>
  </fonts>
  <fills count="4">
    <fill>
      <patternFill patternType="none"/>
    </fill>
    <fill>
      <patternFill patternType="gray125"/>
    </fill>
    <fill>
      <patternFill patternType="solid">
        <fgColor rgb="FFF6B4A4"/>
        <bgColor indexed="64"/>
      </patternFill>
    </fill>
    <fill>
      <patternFill patternType="solid">
        <fgColor theme="0" tint="-4.9989318521683403E-2"/>
        <bgColor indexed="64"/>
      </patternFill>
    </fill>
  </fills>
  <borders count="7">
    <border>
      <left/>
      <right/>
      <top/>
      <bottom/>
      <diagonal/>
    </border>
    <border>
      <left/>
      <right/>
      <top/>
      <bottom style="thin">
        <color rgb="FFF6B4A4"/>
      </bottom>
      <diagonal/>
    </border>
    <border>
      <left style="thin">
        <color rgb="FFF6B4A4"/>
      </left>
      <right/>
      <top style="thin">
        <color rgb="FFF6B4A4"/>
      </top>
      <bottom/>
      <diagonal/>
    </border>
    <border>
      <left/>
      <right/>
      <top style="thin">
        <color rgb="FFF6B4A4"/>
      </top>
      <bottom/>
      <diagonal/>
    </border>
    <border>
      <left/>
      <right style="thin">
        <color rgb="FFF6B4A4"/>
      </right>
      <top style="thin">
        <color rgb="FFF6B4A4"/>
      </top>
      <bottom/>
      <diagonal/>
    </border>
    <border>
      <left/>
      <right/>
      <top/>
      <bottom style="thin">
        <color rgb="FFA3A3A3"/>
      </bottom>
      <diagonal/>
    </border>
    <border>
      <left/>
      <right/>
      <top style="thin">
        <color rgb="FFA3A3A3"/>
      </top>
      <bottom style="thin">
        <color rgb="FFA3A3A3"/>
      </bottom>
      <diagonal/>
    </border>
  </borders>
  <cellStyleXfs count="77">
    <xf numFmtId="0" fontId="0" fillId="0" borderId="0"/>
    <xf numFmtId="15" fontId="6" fillId="0" borderId="0"/>
    <xf numFmtId="0" fontId="7" fillId="0" borderId="0"/>
    <xf numFmtId="43" fontId="12"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9" fontId="12"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3" fillId="0" borderId="0"/>
    <xf numFmtId="0" fontId="2" fillId="0" borderId="0"/>
    <xf numFmtId="0" fontId="2" fillId="0" borderId="0"/>
    <xf numFmtId="0" fontId="13" fillId="0" borderId="0" applyNumberFormat="0" applyFill="0" applyBorder="0" applyAlignment="0" applyProtection="0"/>
  </cellStyleXfs>
  <cellXfs count="256">
    <xf numFmtId="0" fontId="0" fillId="0" borderId="0" xfId="0"/>
    <xf numFmtId="0" fontId="4" fillId="0" borderId="0" xfId="0" applyFont="1"/>
    <xf numFmtId="0" fontId="11" fillId="0" borderId="0" xfId="0" applyFont="1"/>
    <xf numFmtId="0" fontId="0" fillId="0" borderId="0" xfId="0" applyProtection="1">
      <protection locked="0"/>
    </xf>
    <xf numFmtId="41" fontId="0" fillId="0" borderId="0" xfId="0" applyNumberFormat="1" applyProtection="1">
      <protection locked="0"/>
    </xf>
    <xf numFmtId="41" fontId="0" fillId="0" borderId="0" xfId="0" applyNumberFormat="1" applyFill="1" applyProtection="1">
      <protection locked="0"/>
    </xf>
    <xf numFmtId="0" fontId="33" fillId="0" borderId="0" xfId="0" applyFont="1"/>
    <xf numFmtId="0" fontId="32" fillId="0" borderId="0" xfId="0" applyFont="1" applyAlignment="1">
      <alignment horizontal="left"/>
    </xf>
    <xf numFmtId="0" fontId="31" fillId="0" borderId="0" xfId="0" applyFont="1"/>
    <xf numFmtId="0" fontId="34" fillId="0" borderId="0" xfId="0" applyFont="1" applyAlignment="1">
      <alignment horizontal="left"/>
    </xf>
    <xf numFmtId="0" fontId="4" fillId="0" borderId="0" xfId="0" applyFont="1" applyBorder="1" applyProtection="1"/>
    <xf numFmtId="0" fontId="0" fillId="0" borderId="0" xfId="0" applyBorder="1" applyProtection="1"/>
    <xf numFmtId="0" fontId="30" fillId="0" borderId="0" xfId="0" applyFont="1" applyBorder="1" applyAlignment="1" applyProtection="1">
      <alignment horizontal="center"/>
    </xf>
    <xf numFmtId="0" fontId="19" fillId="0" borderId="0" xfId="0" applyFont="1" applyBorder="1" applyAlignment="1" applyProtection="1">
      <alignment horizontal="center"/>
    </xf>
    <xf numFmtId="0" fontId="20" fillId="0" borderId="1" xfId="0" applyFont="1" applyBorder="1" applyAlignment="1" applyProtection="1">
      <alignment horizontal="center"/>
    </xf>
    <xf numFmtId="0" fontId="25" fillId="0" borderId="0" xfId="0" applyFont="1" applyBorder="1" applyProtection="1"/>
    <xf numFmtId="41" fontId="25" fillId="0" borderId="0" xfId="0" applyNumberFormat="1" applyFont="1" applyFill="1" applyBorder="1" applyAlignment="1" applyProtection="1">
      <alignment horizontal="center"/>
    </xf>
    <xf numFmtId="0" fontId="25" fillId="0" borderId="0" xfId="0" applyFont="1" applyBorder="1" applyAlignment="1" applyProtection="1">
      <alignment horizontal="center"/>
    </xf>
    <xf numFmtId="0" fontId="0" fillId="0" borderId="1" xfId="0" applyBorder="1" applyProtection="1"/>
    <xf numFmtId="0" fontId="0" fillId="0" borderId="0" xfId="0" applyProtection="1"/>
    <xf numFmtId="0" fontId="25" fillId="0" borderId="3" xfId="0" applyFont="1" applyBorder="1" applyProtection="1"/>
    <xf numFmtId="0" fontId="25" fillId="0" borderId="3" xfId="0" applyFont="1" applyBorder="1" applyAlignment="1" applyProtection="1">
      <alignment horizontal="center"/>
    </xf>
    <xf numFmtId="0" fontId="25" fillId="0" borderId="1" xfId="0" applyFont="1" applyBorder="1" applyProtection="1"/>
    <xf numFmtId="0" fontId="4" fillId="0" borderId="0" xfId="0" applyFont="1" applyProtection="1"/>
    <xf numFmtId="0" fontId="17" fillId="0" borderId="0" xfId="0" applyFont="1" applyProtection="1"/>
    <xf numFmtId="0" fontId="0" fillId="0" borderId="0" xfId="0" applyFont="1" applyFill="1" applyProtection="1"/>
    <xf numFmtId="0" fontId="22" fillId="0" borderId="0" xfId="0" applyFont="1" applyFill="1" applyProtection="1"/>
    <xf numFmtId="0" fontId="5" fillId="0" borderId="0" xfId="0" applyFont="1" applyFill="1" applyProtection="1"/>
    <xf numFmtId="0" fontId="0" fillId="0" borderId="0" xfId="0" applyFont="1" applyFill="1" applyAlignment="1" applyProtection="1">
      <alignment horizontal="center"/>
    </xf>
    <xf numFmtId="0" fontId="23" fillId="0" borderId="0" xfId="0" applyFont="1" applyBorder="1" applyProtection="1"/>
    <xf numFmtId="0" fontId="22" fillId="0" borderId="1" xfId="0" applyFont="1" applyFill="1" applyBorder="1" applyProtection="1"/>
    <xf numFmtId="0" fontId="18" fillId="0" borderId="0" xfId="0" applyFont="1" applyFill="1" applyBorder="1" applyProtection="1"/>
    <xf numFmtId="0" fontId="24" fillId="0" borderId="1" xfId="0" applyFont="1" applyFill="1" applyBorder="1" applyProtection="1"/>
    <xf numFmtId="0" fontId="24" fillId="0" borderId="0" xfId="0" applyFont="1" applyFill="1" applyBorder="1" applyProtection="1"/>
    <xf numFmtId="0" fontId="24" fillId="0" borderId="1" xfId="0" applyFont="1" applyFill="1" applyBorder="1" applyAlignment="1" applyProtection="1">
      <alignment horizontal="center"/>
    </xf>
    <xf numFmtId="0" fontId="0" fillId="0" borderId="1" xfId="0" applyFill="1" applyBorder="1" applyProtection="1"/>
    <xf numFmtId="0" fontId="0" fillId="0" borderId="0" xfId="0" applyFill="1" applyProtection="1"/>
    <xf numFmtId="0" fontId="27" fillId="0" borderId="0" xfId="0" applyFont="1" applyBorder="1" applyProtection="1"/>
    <xf numFmtId="41" fontId="29" fillId="0" borderId="0" xfId="0" applyNumberFormat="1" applyFont="1" applyBorder="1" applyProtection="1"/>
    <xf numFmtId="0" fontId="25" fillId="0" borderId="0" xfId="0" applyFont="1" applyFill="1" applyBorder="1" applyProtection="1"/>
    <xf numFmtId="0" fontId="25" fillId="0" borderId="0" xfId="0" applyFont="1" applyAlignment="1" applyProtection="1">
      <alignment horizontal="center"/>
    </xf>
    <xf numFmtId="0" fontId="25" fillId="0" borderId="0" xfId="0" applyFont="1" applyProtection="1"/>
    <xf numFmtId="0" fontId="27" fillId="0" borderId="0" xfId="0" applyFont="1" applyProtection="1"/>
    <xf numFmtId="41" fontId="29" fillId="0" borderId="0" xfId="0" applyNumberFormat="1" applyFont="1" applyProtection="1"/>
    <xf numFmtId="43" fontId="25" fillId="0" borderId="0" xfId="0" applyNumberFormat="1" applyFont="1" applyProtection="1"/>
    <xf numFmtId="43" fontId="27" fillId="0" borderId="0" xfId="0" applyNumberFormat="1" applyFont="1" applyProtection="1"/>
    <xf numFmtId="43" fontId="25" fillId="0" borderId="0" xfId="0" applyNumberFormat="1" applyFont="1" applyBorder="1" applyProtection="1"/>
    <xf numFmtId="43" fontId="27" fillId="0" borderId="0" xfId="0" applyNumberFormat="1" applyFont="1" applyBorder="1" applyProtection="1"/>
    <xf numFmtId="49" fontId="25" fillId="0" borderId="0" xfId="0" applyNumberFormat="1" applyFont="1" applyAlignment="1" applyProtection="1">
      <alignment horizontal="center"/>
    </xf>
    <xf numFmtId="49" fontId="25" fillId="0" borderId="0" xfId="0" applyNumberFormat="1" applyFont="1" applyAlignment="1" applyProtection="1"/>
    <xf numFmtId="43" fontId="29" fillId="0" borderId="0" xfId="0" applyNumberFormat="1" applyFont="1" applyProtection="1"/>
    <xf numFmtId="0" fontId="0" fillId="0" borderId="0" xfId="0" applyFont="1" applyProtection="1"/>
    <xf numFmtId="167" fontId="25" fillId="0" borderId="0" xfId="0" applyNumberFormat="1" applyFont="1" applyFill="1" applyBorder="1" applyProtection="1"/>
    <xf numFmtId="167" fontId="27" fillId="0" borderId="0" xfId="0" applyNumberFormat="1" applyFont="1" applyFill="1" applyBorder="1" applyProtection="1"/>
    <xf numFmtId="168" fontId="29" fillId="0" borderId="0" xfId="3" applyNumberFormat="1" applyFont="1" applyBorder="1" applyProtection="1"/>
    <xf numFmtId="43" fontId="25" fillId="0" borderId="0" xfId="0" applyNumberFormat="1" applyFont="1" applyFill="1" applyBorder="1" applyAlignment="1" applyProtection="1">
      <alignment horizontal="right"/>
    </xf>
    <xf numFmtId="43" fontId="27" fillId="0" borderId="0" xfId="0" applyNumberFormat="1" applyFont="1" applyFill="1" applyBorder="1" applyAlignment="1" applyProtection="1">
      <alignment horizontal="right"/>
    </xf>
    <xf numFmtId="0" fontId="29" fillId="0" borderId="0" xfId="0" applyFont="1" applyProtection="1"/>
    <xf numFmtId="165" fontId="29" fillId="0" borderId="0" xfId="0" applyNumberFormat="1" applyFont="1" applyProtection="1"/>
    <xf numFmtId="0" fontId="26" fillId="0" borderId="0" xfId="0" applyFont="1" applyProtection="1"/>
    <xf numFmtId="0" fontId="18" fillId="0" borderId="1" xfId="0" applyFont="1" applyFill="1" applyBorder="1" applyProtection="1"/>
    <xf numFmtId="0" fontId="29" fillId="0" borderId="1" xfId="0" applyFont="1" applyBorder="1" applyAlignment="1" applyProtection="1">
      <alignment horizontal="center"/>
    </xf>
    <xf numFmtId="0" fontId="25" fillId="0" borderId="0" xfId="0" applyNumberFormat="1" applyFont="1" applyBorder="1" applyAlignment="1" applyProtection="1">
      <alignment horizontal="left"/>
    </xf>
    <xf numFmtId="43" fontId="0" fillId="0" borderId="0" xfId="0" applyNumberFormat="1" applyProtection="1"/>
    <xf numFmtId="0" fontId="26" fillId="0" borderId="0" xfId="0" applyNumberFormat="1" applyFont="1" applyAlignment="1" applyProtection="1">
      <alignment horizontal="left"/>
    </xf>
    <xf numFmtId="0" fontId="27" fillId="0" borderId="0" xfId="0" applyFont="1" applyBorder="1" applyAlignment="1" applyProtection="1">
      <alignment horizontal="center"/>
    </xf>
    <xf numFmtId="43" fontId="4" fillId="0" borderId="0" xfId="0" applyNumberFormat="1" applyFont="1" applyProtection="1"/>
    <xf numFmtId="0" fontId="27" fillId="0" borderId="0" xfId="0" applyFont="1" applyAlignment="1" applyProtection="1">
      <alignment horizontal="center"/>
    </xf>
    <xf numFmtId="164" fontId="27" fillId="0" borderId="0" xfId="0" applyNumberFormat="1" applyFont="1" applyProtection="1"/>
    <xf numFmtId="164" fontId="25" fillId="0" borderId="1" xfId="0" applyNumberFormat="1" applyFont="1" applyBorder="1" applyProtection="1"/>
    <xf numFmtId="41" fontId="29" fillId="0" borderId="1" xfId="0" applyNumberFormat="1" applyFont="1" applyBorder="1" applyProtection="1"/>
    <xf numFmtId="164" fontId="25" fillId="0" borderId="0" xfId="0" applyNumberFormat="1" applyFont="1" applyProtection="1"/>
    <xf numFmtId="43" fontId="25" fillId="0" borderId="1" xfId="0" applyNumberFormat="1" applyFont="1" applyBorder="1" applyProtection="1"/>
    <xf numFmtId="43" fontId="29" fillId="0" borderId="1" xfId="0" applyNumberFormat="1" applyFont="1" applyBorder="1" applyProtection="1"/>
    <xf numFmtId="41" fontId="25" fillId="0" borderId="0" xfId="0" applyNumberFormat="1" applyFont="1" applyProtection="1"/>
    <xf numFmtId="41" fontId="27" fillId="0" borderId="0" xfId="0" applyNumberFormat="1" applyFont="1" applyProtection="1"/>
    <xf numFmtId="10" fontId="25" fillId="0" borderId="0" xfId="0" applyNumberFormat="1" applyFont="1" applyProtection="1"/>
    <xf numFmtId="10" fontId="27" fillId="0" borderId="0" xfId="0" applyNumberFormat="1" applyFont="1" applyProtection="1"/>
    <xf numFmtId="0" fontId="21" fillId="0" borderId="0" xfId="0" applyFont="1" applyProtection="1"/>
    <xf numFmtId="0" fontId="35" fillId="0" borderId="0" xfId="0" applyFont="1" applyProtection="1">
      <protection locked="0"/>
    </xf>
    <xf numFmtId="0" fontId="20" fillId="0" borderId="0" xfId="0" applyFont="1"/>
    <xf numFmtId="0" fontId="0" fillId="0" borderId="0" xfId="0" applyAlignment="1" applyProtection="1">
      <alignment vertical="center"/>
    </xf>
    <xf numFmtId="0" fontId="0" fillId="0" borderId="0" xfId="0" applyAlignment="1" applyProtection="1">
      <alignment vertical="center"/>
      <protection locked="0"/>
    </xf>
    <xf numFmtId="0" fontId="17" fillId="0" borderId="0" xfId="0" applyFont="1"/>
    <xf numFmtId="0" fontId="25" fillId="0" borderId="1" xfId="0" applyFont="1" applyFill="1" applyBorder="1" applyProtection="1"/>
    <xf numFmtId="0" fontId="25" fillId="0" borderId="0" xfId="0" applyFont="1"/>
    <xf numFmtId="0" fontId="36" fillId="0" borderId="0" xfId="0" applyFont="1"/>
    <xf numFmtId="9" fontId="25" fillId="0" borderId="1" xfId="58" applyFont="1" applyFill="1" applyBorder="1" applyProtection="1"/>
    <xf numFmtId="0" fontId="22" fillId="0" borderId="0" xfId="0" applyFont="1" applyFill="1" applyBorder="1" applyProtection="1"/>
    <xf numFmtId="166" fontId="29" fillId="0" borderId="0" xfId="0" applyNumberFormat="1" applyFont="1" applyProtection="1"/>
    <xf numFmtId="166" fontId="29" fillId="0" borderId="0" xfId="0" applyNumberFormat="1" applyFont="1" applyBorder="1" applyProtection="1"/>
    <xf numFmtId="0" fontId="29" fillId="0" borderId="0" xfId="0" applyNumberFormat="1" applyFont="1" applyBorder="1" applyProtection="1"/>
    <xf numFmtId="0" fontId="26" fillId="0" borderId="0" xfId="0" applyFont="1" applyBorder="1" applyProtection="1"/>
    <xf numFmtId="49" fontId="25" fillId="0" borderId="0" xfId="0" applyNumberFormat="1" applyFont="1" applyBorder="1" applyAlignment="1" applyProtection="1"/>
    <xf numFmtId="0" fontId="29" fillId="0" borderId="0" xfId="0" applyFont="1" applyBorder="1" applyAlignment="1" applyProtection="1">
      <alignment horizontal="center"/>
    </xf>
    <xf numFmtId="0" fontId="26" fillId="0" borderId="0" xfId="0" applyNumberFormat="1" applyFont="1" applyBorder="1" applyAlignment="1" applyProtection="1">
      <alignment horizontal="left"/>
    </xf>
    <xf numFmtId="164" fontId="27" fillId="0" borderId="0" xfId="0" applyNumberFormat="1" applyFont="1" applyBorder="1" applyProtection="1"/>
    <xf numFmtId="0" fontId="29" fillId="0" borderId="0" xfId="0" applyFont="1" applyBorder="1" applyProtection="1"/>
    <xf numFmtId="164" fontId="25" fillId="0" borderId="0" xfId="0" applyNumberFormat="1" applyFont="1" applyBorder="1" applyProtection="1"/>
    <xf numFmtId="0" fontId="2" fillId="0" borderId="0" xfId="74"/>
    <xf numFmtId="0" fontId="2" fillId="0" borderId="0" xfId="74" applyFont="1"/>
    <xf numFmtId="0" fontId="25" fillId="0" borderId="0" xfId="74" applyFont="1"/>
    <xf numFmtId="0" fontId="25" fillId="0" borderId="0" xfId="74" applyFont="1" applyFill="1" applyBorder="1" applyProtection="1"/>
    <xf numFmtId="0" fontId="25" fillId="0" borderId="0" xfId="74" applyFont="1" applyBorder="1" applyProtection="1"/>
    <xf numFmtId="41" fontId="25" fillId="0" borderId="0" xfId="74" applyNumberFormat="1" applyFont="1" applyBorder="1" applyProtection="1"/>
    <xf numFmtId="0" fontId="18" fillId="0" borderId="0" xfId="74" applyFont="1" applyFill="1" applyBorder="1" applyProtection="1"/>
    <xf numFmtId="0" fontId="23" fillId="0" borderId="0" xfId="74" applyFont="1" applyBorder="1" applyProtection="1"/>
    <xf numFmtId="166" fontId="25" fillId="0" borderId="0" xfId="74" applyNumberFormat="1" applyFont="1" applyFill="1" applyBorder="1" applyAlignment="1" applyProtection="1">
      <alignment horizontal="right"/>
      <protection locked="0"/>
    </xf>
    <xf numFmtId="9" fontId="25" fillId="0" borderId="0" xfId="74" applyNumberFormat="1" applyFont="1" applyBorder="1" applyAlignment="1" applyProtection="1">
      <alignment vertical="center"/>
    </xf>
    <xf numFmtId="0" fontId="25" fillId="0" borderId="0" xfId="74" applyFont="1" applyFill="1" applyBorder="1" applyAlignment="1" applyProtection="1">
      <alignment vertical="center"/>
    </xf>
    <xf numFmtId="9" fontId="25" fillId="0" borderId="0" xfId="74" applyNumberFormat="1" applyFont="1" applyFill="1" applyBorder="1" applyAlignment="1" applyProtection="1">
      <alignment vertical="center"/>
    </xf>
    <xf numFmtId="0" fontId="25" fillId="0" borderId="0" xfId="74" applyNumberFormat="1" applyFont="1" applyBorder="1" applyProtection="1"/>
    <xf numFmtId="0" fontId="22" fillId="0" borderId="0" xfId="74" applyFont="1" applyFill="1" applyBorder="1" applyProtection="1"/>
    <xf numFmtId="0" fontId="19" fillId="2" borderId="0" xfId="75" applyFont="1" applyFill="1" applyBorder="1" applyAlignment="1" applyProtection="1">
      <alignment horizontal="center" vertical="center" wrapText="1"/>
    </xf>
    <xf numFmtId="0" fontId="17" fillId="0" borderId="0" xfId="74" applyFont="1" applyFill="1" applyBorder="1" applyAlignment="1" applyProtection="1">
      <alignment horizontal="center"/>
    </xf>
    <xf numFmtId="0" fontId="19" fillId="2" borderId="0" xfId="75" applyFont="1" applyFill="1" applyBorder="1" applyAlignment="1" applyProtection="1">
      <alignment horizontal="center" vertical="center"/>
    </xf>
    <xf numFmtId="0" fontId="25" fillId="0" borderId="5" xfId="74" applyFont="1" applyBorder="1" applyProtection="1"/>
    <xf numFmtId="0" fontId="25" fillId="0" borderId="6" xfId="74" applyFont="1" applyBorder="1" applyProtection="1"/>
    <xf numFmtId="0" fontId="25" fillId="0" borderId="6" xfId="74" applyFont="1" applyBorder="1" applyAlignment="1" applyProtection="1">
      <alignment wrapText="1"/>
    </xf>
    <xf numFmtId="0" fontId="28" fillId="0" borderId="6" xfId="74" applyFont="1" applyFill="1" applyBorder="1" applyProtection="1"/>
    <xf numFmtId="0" fontId="38" fillId="0" borderId="0" xfId="74" applyFont="1" applyBorder="1"/>
    <xf numFmtId="0" fontId="2" fillId="0" borderId="0" xfId="74" applyBorder="1"/>
    <xf numFmtId="0" fontId="28" fillId="0" borderId="0" xfId="74" applyFont="1" applyBorder="1"/>
    <xf numFmtId="0" fontId="25" fillId="0" borderId="0" xfId="74" applyFont="1" applyBorder="1"/>
    <xf numFmtId="0" fontId="37" fillId="0" borderId="0" xfId="74" applyFont="1" applyBorder="1"/>
    <xf numFmtId="0" fontId="25" fillId="0" borderId="0" xfId="74" applyFont="1" applyBorder="1" applyAlignment="1" applyProtection="1">
      <alignment horizontal="center"/>
    </xf>
    <xf numFmtId="166" fontId="25" fillId="0" borderId="0" xfId="74" applyNumberFormat="1" applyFont="1" applyBorder="1" applyProtection="1"/>
    <xf numFmtId="0" fontId="28" fillId="0" borderId="0" xfId="74" applyFont="1" applyBorder="1" applyAlignment="1" applyProtection="1">
      <alignment horizontal="center"/>
    </xf>
    <xf numFmtId="41" fontId="0" fillId="0" borderId="0" xfId="0" applyNumberFormat="1" applyProtection="1"/>
    <xf numFmtId="0" fontId="39" fillId="0" borderId="0" xfId="0" applyFont="1" applyBorder="1" applyAlignment="1">
      <alignment horizontal="center"/>
    </xf>
    <xf numFmtId="0" fontId="0" fillId="0" borderId="0" xfId="0" applyBorder="1" applyAlignment="1">
      <alignment wrapText="1"/>
    </xf>
    <xf numFmtId="0" fontId="0" fillId="0" borderId="0" xfId="0" applyBorder="1"/>
    <xf numFmtId="0" fontId="40" fillId="0" borderId="0" xfId="0" applyFont="1" applyFill="1" applyBorder="1" applyAlignment="1">
      <alignment vertical="center"/>
    </xf>
    <xf numFmtId="0" fontId="41" fillId="0" borderId="0" xfId="0" applyFont="1" applyBorder="1" applyAlignment="1">
      <alignment vertical="center"/>
    </xf>
    <xf numFmtId="0" fontId="43" fillId="0" borderId="0" xfId="0" applyFont="1" applyBorder="1"/>
    <xf numFmtId="0" fontId="0" fillId="0" borderId="0" xfId="0" applyBorder="1" applyAlignment="1">
      <alignment horizontal="center"/>
    </xf>
    <xf numFmtId="0" fontId="36" fillId="0" borderId="0" xfId="0" applyFont="1" applyBorder="1" applyAlignment="1">
      <alignment horizontal="right"/>
    </xf>
    <xf numFmtId="0" fontId="44" fillId="0" borderId="0" xfId="0" applyFont="1" applyBorder="1" applyAlignment="1">
      <alignment vertical="center"/>
    </xf>
    <xf numFmtId="0" fontId="41" fillId="0" borderId="0" xfId="0" applyFont="1" applyBorder="1" applyAlignment="1">
      <alignment horizontal="center" vertical="center"/>
    </xf>
    <xf numFmtId="0" fontId="25" fillId="0" borderId="0" xfId="0" applyNumberFormat="1" applyFont="1" applyBorder="1" applyAlignment="1">
      <alignment horizontal="right" vertical="center"/>
    </xf>
    <xf numFmtId="0" fontId="25" fillId="0" borderId="0" xfId="0" applyNumberFormat="1" applyFont="1" applyBorder="1" applyAlignment="1">
      <alignment horizontal="right"/>
    </xf>
    <xf numFmtId="0" fontId="25" fillId="0" borderId="0" xfId="0" applyFont="1" applyBorder="1" applyAlignment="1">
      <alignment horizontal="right" vertical="center"/>
    </xf>
    <xf numFmtId="2" fontId="25" fillId="0" borderId="0" xfId="0" applyNumberFormat="1" applyFont="1" applyBorder="1" applyAlignment="1">
      <alignment horizontal="right" vertical="center"/>
    </xf>
    <xf numFmtId="9" fontId="25" fillId="0" borderId="0" xfId="0" applyNumberFormat="1" applyFont="1" applyBorder="1" applyAlignment="1">
      <alignment horizontal="right" vertical="center"/>
    </xf>
    <xf numFmtId="0" fontId="25" fillId="0" borderId="0" xfId="0" applyFont="1" applyBorder="1" applyAlignment="1">
      <alignment horizontal="right"/>
    </xf>
    <xf numFmtId="2" fontId="25" fillId="0" borderId="0" xfId="0" applyNumberFormat="1" applyFont="1" applyBorder="1" applyAlignment="1">
      <alignment vertical="center"/>
    </xf>
    <xf numFmtId="10" fontId="25" fillId="0" borderId="0" xfId="0" applyNumberFormat="1" applyFont="1" applyBorder="1" applyAlignment="1">
      <alignment vertical="center" wrapText="1"/>
    </xf>
    <xf numFmtId="10" fontId="25" fillId="0" borderId="0" xfId="0" applyNumberFormat="1" applyFont="1" applyBorder="1" applyAlignment="1">
      <alignment horizontal="right" vertical="center" wrapText="1"/>
    </xf>
    <xf numFmtId="0" fontId="25" fillId="0" borderId="0" xfId="0" applyNumberFormat="1" applyFont="1" applyBorder="1" applyAlignment="1">
      <alignment vertical="center"/>
    </xf>
    <xf numFmtId="0" fontId="25" fillId="0" borderId="0" xfId="0" applyFont="1" applyBorder="1" applyAlignment="1">
      <alignment vertical="center"/>
    </xf>
    <xf numFmtId="0" fontId="25" fillId="0" borderId="0" xfId="0" applyFont="1" applyBorder="1" applyAlignment="1">
      <alignment horizontal="right" vertical="center" wrapText="1"/>
    </xf>
    <xf numFmtId="0" fontId="25" fillId="0" borderId="0" xfId="0" applyFont="1" applyBorder="1" applyAlignment="1" applyProtection="1">
      <alignment vertical="center"/>
    </xf>
    <xf numFmtId="0" fontId="45" fillId="0" borderId="0" xfId="0" applyFont="1" applyFill="1" applyBorder="1" applyAlignment="1">
      <alignment vertical="center"/>
    </xf>
    <xf numFmtId="0" fontId="42" fillId="0" borderId="0" xfId="0" applyFont="1" applyFill="1" applyBorder="1" applyAlignment="1">
      <alignment horizontal="center" vertical="center"/>
    </xf>
    <xf numFmtId="3" fontId="25" fillId="0" borderId="0" xfId="0" applyNumberFormat="1" applyFont="1" applyBorder="1" applyAlignment="1">
      <alignment horizontal="right" vertical="center"/>
    </xf>
    <xf numFmtId="3" fontId="25" fillId="0" borderId="0" xfId="0" applyNumberFormat="1" applyFont="1" applyBorder="1" applyAlignment="1">
      <alignment horizontal="right"/>
    </xf>
    <xf numFmtId="9" fontId="25" fillId="0" borderId="0" xfId="0" applyNumberFormat="1" applyFont="1" applyBorder="1" applyAlignment="1">
      <alignment horizontal="right"/>
    </xf>
    <xf numFmtId="2" fontId="25" fillId="0" borderId="0" xfId="0" applyNumberFormat="1" applyFont="1" applyBorder="1" applyAlignment="1">
      <alignment horizontal="right"/>
    </xf>
    <xf numFmtId="0" fontId="46" fillId="0" borderId="0" xfId="76" applyFont="1" applyBorder="1" applyAlignment="1">
      <alignment horizontal="left" vertical="center" wrapText="1"/>
    </xf>
    <xf numFmtId="0" fontId="30" fillId="0" borderId="0" xfId="73" applyFont="1" applyFill="1" applyBorder="1" applyAlignment="1" applyProtection="1">
      <alignment horizontal="right" vertical="center"/>
    </xf>
    <xf numFmtId="0" fontId="0" fillId="0" borderId="0" xfId="0" applyFont="1" applyFill="1" applyBorder="1" applyProtection="1"/>
    <xf numFmtId="0" fontId="0" fillId="0" borderId="0" xfId="0" applyNumberFormat="1" applyFont="1" applyBorder="1" applyProtection="1"/>
    <xf numFmtId="0" fontId="0" fillId="0" borderId="0" xfId="0" applyNumberFormat="1" applyFont="1" applyProtection="1"/>
    <xf numFmtId="0" fontId="4" fillId="0" borderId="0" xfId="0" applyFont="1" applyAlignment="1" applyProtection="1">
      <alignment horizontal="left"/>
    </xf>
    <xf numFmtId="0" fontId="0" fillId="0" borderId="0" xfId="0" applyAlignment="1" applyProtection="1">
      <alignment horizontal="left"/>
    </xf>
    <xf numFmtId="9" fontId="0" fillId="0" borderId="0" xfId="0" applyNumberFormat="1" applyFont="1" applyBorder="1" applyProtection="1"/>
    <xf numFmtId="1" fontId="0" fillId="0" borderId="0" xfId="0" applyNumberFormat="1" applyFont="1" applyBorder="1" applyProtection="1"/>
    <xf numFmtId="0" fontId="46" fillId="0" borderId="0" xfId="76" applyFont="1" applyBorder="1" applyAlignment="1" applyProtection="1">
      <alignment horizontal="left" vertical="center" wrapText="1"/>
      <protection locked="0"/>
    </xf>
    <xf numFmtId="2" fontId="25" fillId="0" borderId="1" xfId="0" applyNumberFormat="1" applyFont="1" applyFill="1" applyBorder="1" applyProtection="1">
      <protection locked="0"/>
    </xf>
    <xf numFmtId="166" fontId="25" fillId="0" borderId="0" xfId="0" applyNumberFormat="1" applyFont="1" applyFill="1" applyBorder="1" applyAlignment="1" applyProtection="1">
      <alignment horizontal="right"/>
    </xf>
    <xf numFmtId="166" fontId="25" fillId="0" borderId="0" xfId="0" applyNumberFormat="1" applyFont="1" applyBorder="1" applyAlignment="1" applyProtection="1">
      <alignment horizontal="right"/>
    </xf>
    <xf numFmtId="0" fontId="49" fillId="0" borderId="0" xfId="0" applyFont="1" applyBorder="1" applyAlignment="1" applyProtection="1">
      <alignment vertical="center"/>
    </xf>
    <xf numFmtId="43" fontId="25" fillId="0" borderId="0" xfId="0" applyNumberFormat="1" applyFont="1" applyBorder="1" applyAlignment="1" applyProtection="1">
      <alignment vertical="center"/>
    </xf>
    <xf numFmtId="0" fontId="50" fillId="0" borderId="0" xfId="0" applyFont="1" applyBorder="1" applyAlignment="1" applyProtection="1">
      <alignment vertical="center"/>
    </xf>
    <xf numFmtId="0" fontId="37" fillId="0" borderId="1" xfId="0" applyFont="1" applyBorder="1" applyAlignment="1" applyProtection="1">
      <alignment horizontal="center"/>
    </xf>
    <xf numFmtId="0" fontId="37" fillId="0" borderId="1" xfId="0" applyFont="1" applyBorder="1" applyAlignment="1" applyProtection="1">
      <alignment horizontal="left"/>
    </xf>
    <xf numFmtId="0" fontId="25" fillId="3" borderId="0" xfId="0" applyNumberFormat="1" applyFont="1" applyFill="1" applyBorder="1" applyAlignment="1" applyProtection="1">
      <alignment horizontal="right"/>
      <protection locked="0"/>
    </xf>
    <xf numFmtId="10" fontId="25" fillId="0" borderId="0" xfId="0" applyNumberFormat="1" applyFont="1" applyFill="1" applyBorder="1" applyAlignment="1" applyProtection="1">
      <alignment horizontal="right"/>
      <protection locked="0"/>
    </xf>
    <xf numFmtId="1" fontId="25" fillId="0" borderId="0" xfId="0" applyNumberFormat="1" applyFont="1" applyFill="1" applyBorder="1" applyAlignment="1" applyProtection="1">
      <alignment horizontal="right"/>
      <protection locked="0"/>
    </xf>
    <xf numFmtId="10" fontId="25" fillId="3" borderId="0" xfId="0" applyNumberFormat="1" applyFont="1" applyFill="1" applyBorder="1" applyAlignment="1" applyProtection="1">
      <alignment horizontal="right"/>
      <protection locked="0"/>
    </xf>
    <xf numFmtId="2" fontId="25" fillId="0" borderId="0" xfId="0" applyNumberFormat="1" applyFont="1" applyFill="1" applyBorder="1" applyAlignment="1" applyProtection="1">
      <alignment horizontal="right"/>
      <protection locked="0"/>
    </xf>
    <xf numFmtId="0" fontId="0" fillId="0" borderId="1" xfId="0" applyBorder="1" applyAlignment="1" applyProtection="1">
      <alignment horizontal="right"/>
      <protection locked="0"/>
    </xf>
    <xf numFmtId="166" fontId="25" fillId="3" borderId="0" xfId="0" applyNumberFormat="1" applyFont="1" applyFill="1" applyBorder="1" applyAlignment="1" applyProtection="1">
      <alignment horizontal="right"/>
      <protection locked="0"/>
    </xf>
    <xf numFmtId="166" fontId="25" fillId="0" borderId="0" xfId="0" applyNumberFormat="1" applyFont="1" applyFill="1" applyBorder="1" applyAlignment="1" applyProtection="1">
      <alignment horizontal="right"/>
      <protection locked="0"/>
    </xf>
    <xf numFmtId="9" fontId="25" fillId="3" borderId="0" xfId="58" applyFont="1" applyFill="1" applyBorder="1" applyAlignment="1" applyProtection="1">
      <alignment horizontal="right"/>
      <protection locked="0"/>
    </xf>
    <xf numFmtId="1" fontId="25" fillId="3" borderId="0" xfId="0" applyNumberFormat="1" applyFont="1" applyFill="1" applyBorder="1" applyAlignment="1" applyProtection="1">
      <alignment horizontal="right"/>
      <protection locked="0"/>
    </xf>
    <xf numFmtId="0" fontId="0" fillId="0" borderId="0" xfId="0" applyBorder="1" applyAlignment="1" applyProtection="1">
      <alignment horizontal="right"/>
      <protection locked="0"/>
    </xf>
    <xf numFmtId="10" fontId="25" fillId="3" borderId="0" xfId="58" applyNumberFormat="1" applyFont="1" applyFill="1" applyBorder="1" applyAlignment="1" applyProtection="1">
      <alignment horizontal="right"/>
      <protection locked="0"/>
    </xf>
    <xf numFmtId="9" fontId="25" fillId="3" borderId="0" xfId="0" applyNumberFormat="1" applyFont="1" applyFill="1" applyBorder="1" applyAlignment="1" applyProtection="1">
      <alignment horizontal="right"/>
      <protection locked="0"/>
    </xf>
    <xf numFmtId="169" fontId="25" fillId="3" borderId="0" xfId="58" applyNumberFormat="1" applyFont="1" applyFill="1" applyBorder="1" applyAlignment="1" applyProtection="1">
      <alignment horizontal="right"/>
      <protection locked="0"/>
    </xf>
    <xf numFmtId="2" fontId="25" fillId="0" borderId="0" xfId="0" applyNumberFormat="1" applyFont="1" applyFill="1" applyBorder="1" applyAlignment="1" applyProtection="1">
      <alignment horizontal="right"/>
    </xf>
    <xf numFmtId="41" fontId="25" fillId="3" borderId="0" xfId="0" applyNumberFormat="1" applyFont="1" applyFill="1" applyBorder="1" applyAlignment="1" applyProtection="1">
      <alignment horizontal="right"/>
      <protection locked="0"/>
    </xf>
    <xf numFmtId="41" fontId="25" fillId="0" borderId="0" xfId="0" applyNumberFormat="1" applyFont="1" applyFill="1" applyBorder="1" applyAlignment="1" applyProtection="1">
      <alignment horizontal="right"/>
      <protection locked="0"/>
    </xf>
    <xf numFmtId="2" fontId="25" fillId="3" borderId="0" xfId="0" applyNumberFormat="1" applyFont="1" applyFill="1" applyBorder="1" applyAlignment="1" applyProtection="1">
      <alignment horizontal="right"/>
      <protection locked="0"/>
    </xf>
    <xf numFmtId="43" fontId="25" fillId="3" borderId="0" xfId="0" applyNumberFormat="1" applyFont="1" applyFill="1" applyBorder="1" applyAlignment="1" applyProtection="1">
      <alignment horizontal="right"/>
      <protection locked="0"/>
    </xf>
    <xf numFmtId="166" fontId="25" fillId="0" borderId="0" xfId="0" applyNumberFormat="1" applyFont="1" applyFill="1" applyBorder="1" applyProtection="1"/>
    <xf numFmtId="0" fontId="28" fillId="0" borderId="0" xfId="0" applyFont="1" applyBorder="1" applyAlignment="1" applyProtection="1">
      <alignment horizontal="left"/>
    </xf>
    <xf numFmtId="43" fontId="25" fillId="0" borderId="0" xfId="0" applyNumberFormat="1" applyFont="1" applyBorder="1" applyAlignment="1" applyProtection="1">
      <alignment horizontal="right"/>
    </xf>
    <xf numFmtId="0" fontId="51" fillId="2" borderId="2" xfId="73" applyFont="1" applyFill="1" applyBorder="1" applyAlignment="1" applyProtection="1">
      <alignment vertical="center"/>
    </xf>
    <xf numFmtId="0" fontId="51" fillId="2" borderId="3" xfId="73" applyFont="1" applyFill="1" applyBorder="1" applyAlignment="1" applyProtection="1">
      <alignment vertical="center"/>
    </xf>
    <xf numFmtId="0" fontId="51" fillId="2" borderId="4" xfId="73" applyFont="1" applyFill="1" applyBorder="1" applyAlignment="1" applyProtection="1">
      <alignment vertical="center"/>
    </xf>
    <xf numFmtId="0" fontId="37" fillId="2" borderId="0" xfId="73" applyFont="1" applyFill="1" applyBorder="1" applyAlignment="1" applyProtection="1">
      <alignment horizontal="center" vertical="center"/>
    </xf>
    <xf numFmtId="0" fontId="48" fillId="0" borderId="0" xfId="0" applyFont="1" applyBorder="1" applyAlignment="1">
      <alignment vertical="center"/>
    </xf>
    <xf numFmtId="0" fontId="48" fillId="0" borderId="0" xfId="0" applyFont="1" applyBorder="1" applyAlignment="1">
      <alignment horizontal="center" vertical="center"/>
    </xf>
    <xf numFmtId="0" fontId="0" fillId="0" borderId="0" xfId="0" applyBorder="1" applyProtection="1">
      <protection locked="0"/>
    </xf>
    <xf numFmtId="0" fontId="37" fillId="0" borderId="1" xfId="73" applyFont="1" applyBorder="1" applyAlignment="1" applyProtection="1">
      <alignment vertical="center"/>
    </xf>
    <xf numFmtId="0" fontId="52" fillId="0" borderId="0" xfId="0" applyFont="1" applyFill="1" applyBorder="1" applyAlignment="1" applyProtection="1">
      <alignment horizontal="center"/>
    </xf>
    <xf numFmtId="0" fontId="25" fillId="0" borderId="0" xfId="73" applyFont="1" applyBorder="1" applyAlignment="1" applyProtection="1">
      <alignment vertical="center"/>
    </xf>
    <xf numFmtId="0" fontId="0" fillId="0" borderId="0" xfId="0" applyAlignment="1">
      <alignment vertical="top" wrapText="1"/>
    </xf>
    <xf numFmtId="0" fontId="53" fillId="0" borderId="0" xfId="0" applyFont="1"/>
    <xf numFmtId="0" fontId="54" fillId="0" borderId="0" xfId="0" applyFont="1"/>
    <xf numFmtId="0" fontId="55" fillId="0" borderId="0" xfId="0" applyFont="1"/>
    <xf numFmtId="0" fontId="56" fillId="0" borderId="0" xfId="0" applyFont="1"/>
    <xf numFmtId="0" fontId="52" fillId="0" borderId="0" xfId="0" applyFont="1" applyAlignment="1">
      <alignment horizontal="center"/>
    </xf>
    <xf numFmtId="0" fontId="1" fillId="0" borderId="0" xfId="0" applyFont="1" applyAlignment="1">
      <alignment horizontal="center"/>
    </xf>
    <xf numFmtId="0" fontId="25" fillId="0" borderId="0" xfId="0" applyFont="1" applyBorder="1" applyAlignment="1" applyProtection="1">
      <alignment horizontal="left"/>
    </xf>
    <xf numFmtId="0" fontId="25" fillId="0" borderId="0" xfId="0" applyFont="1" applyBorder="1" applyAlignment="1" applyProtection="1">
      <alignment horizontal="right"/>
    </xf>
    <xf numFmtId="41" fontId="0" fillId="0" borderId="0" xfId="0" applyNumberFormat="1" applyFill="1" applyProtection="1"/>
    <xf numFmtId="0" fontId="36" fillId="0" borderId="0" xfId="0" applyFont="1" applyProtection="1"/>
    <xf numFmtId="0" fontId="37" fillId="0" borderId="0" xfId="0" applyFont="1" applyProtection="1"/>
    <xf numFmtId="0" fontId="61" fillId="0" borderId="0" xfId="0" applyFont="1" applyAlignment="1" applyProtection="1">
      <alignment horizontal="right"/>
    </xf>
    <xf numFmtId="0" fontId="37" fillId="0" borderId="0" xfId="0" applyFont="1"/>
    <xf numFmtId="0" fontId="63" fillId="0" borderId="0" xfId="0" applyFont="1"/>
    <xf numFmtId="49" fontId="37" fillId="0" borderId="0" xfId="0" applyNumberFormat="1" applyFont="1"/>
    <xf numFmtId="0" fontId="37" fillId="0" borderId="0" xfId="0" applyFont="1" applyAlignment="1" applyProtection="1">
      <alignment vertical="center"/>
    </xf>
    <xf numFmtId="9" fontId="25" fillId="0" borderId="0" xfId="58" applyFont="1" applyFill="1" applyBorder="1" applyAlignment="1" applyProtection="1">
      <alignment horizontal="right"/>
    </xf>
    <xf numFmtId="0" fontId="51" fillId="0" borderId="0" xfId="73" applyFont="1" applyFill="1" applyBorder="1" applyAlignment="1" applyProtection="1">
      <alignment horizontal="center" vertical="center"/>
    </xf>
    <xf numFmtId="49" fontId="25" fillId="3" borderId="0" xfId="0" applyNumberFormat="1" applyFont="1" applyFill="1" applyBorder="1" applyAlignment="1" applyProtection="1">
      <alignment horizontal="right" vertical="center" wrapText="1"/>
      <protection locked="0"/>
    </xf>
    <xf numFmtId="9" fontId="0" fillId="0" borderId="0" xfId="58" applyFont="1" applyProtection="1"/>
    <xf numFmtId="2" fontId="0" fillId="0" borderId="0" xfId="0" applyNumberFormat="1" applyProtection="1"/>
    <xf numFmtId="0" fontId="61" fillId="0" borderId="0" xfId="0" applyFont="1" applyProtection="1"/>
    <xf numFmtId="0" fontId="62" fillId="0" borderId="0" xfId="0" applyFont="1" applyBorder="1" applyProtection="1"/>
    <xf numFmtId="43" fontId="62" fillId="0" borderId="0" xfId="0" applyNumberFormat="1" applyFont="1" applyFill="1" applyBorder="1" applyAlignment="1" applyProtection="1">
      <alignment horizontal="right"/>
    </xf>
    <xf numFmtId="49" fontId="62" fillId="0" borderId="0" xfId="0" applyNumberFormat="1" applyFont="1" applyAlignment="1" applyProtection="1">
      <alignment horizontal="center"/>
    </xf>
    <xf numFmtId="0" fontId="62" fillId="0" borderId="0" xfId="0" applyFont="1" applyProtection="1"/>
    <xf numFmtId="49" fontId="62" fillId="0" borderId="0" xfId="0" applyNumberFormat="1" applyFont="1" applyAlignment="1" applyProtection="1"/>
    <xf numFmtId="0" fontId="25" fillId="0" borderId="0" xfId="0" applyFont="1" applyFill="1" applyBorder="1" applyAlignment="1" applyProtection="1">
      <alignment horizontal="center"/>
    </xf>
    <xf numFmtId="170" fontId="25" fillId="0" borderId="0" xfId="58" applyNumberFormat="1" applyFont="1" applyFill="1" applyBorder="1" applyAlignment="1" applyProtection="1">
      <alignment horizontal="right"/>
    </xf>
    <xf numFmtId="169" fontId="25" fillId="0" borderId="0" xfId="58" applyNumberFormat="1" applyFont="1" applyFill="1" applyBorder="1" applyAlignment="1" applyProtection="1">
      <alignment horizontal="right"/>
    </xf>
    <xf numFmtId="9" fontId="25" fillId="0" borderId="0" xfId="58" applyFont="1" applyFill="1" applyBorder="1" applyAlignment="1" applyProtection="1">
      <alignment horizontal="right"/>
      <protection locked="0"/>
    </xf>
    <xf numFmtId="3" fontId="25" fillId="3" borderId="0" xfId="0" applyNumberFormat="1" applyFont="1" applyFill="1" applyProtection="1">
      <protection locked="0"/>
    </xf>
    <xf numFmtId="10" fontId="25" fillId="0" borderId="0" xfId="0" applyNumberFormat="1" applyFont="1" applyFill="1" applyBorder="1" applyAlignment="1" applyProtection="1">
      <alignment horizontal="right"/>
    </xf>
    <xf numFmtId="0" fontId="17" fillId="0" borderId="0" xfId="0" applyFont="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36" fillId="0" borderId="0" xfId="0" applyFont="1" applyAlignment="1">
      <alignment horizontal="left" vertical="top" wrapText="1"/>
    </xf>
    <xf numFmtId="0" fontId="32" fillId="0" borderId="0" xfId="0" applyFont="1" applyAlignment="1">
      <alignment horizontal="left" vertical="top" wrapText="1"/>
    </xf>
    <xf numFmtId="0" fontId="51" fillId="2" borderId="2" xfId="73" applyFont="1" applyFill="1" applyBorder="1" applyAlignment="1" applyProtection="1">
      <alignment horizontal="center" vertical="center"/>
    </xf>
    <xf numFmtId="0" fontId="51" fillId="2" borderId="3" xfId="73" applyFont="1" applyFill="1" applyBorder="1" applyAlignment="1" applyProtection="1">
      <alignment horizontal="center" vertical="center"/>
    </xf>
    <xf numFmtId="0" fontId="51" fillId="2" borderId="4" xfId="73" applyFont="1" applyFill="1" applyBorder="1" applyAlignment="1" applyProtection="1">
      <alignment horizontal="center" vertical="center"/>
    </xf>
    <xf numFmtId="0" fontId="25" fillId="0" borderId="0" xfId="0" applyFont="1" applyAlignment="1">
      <alignment horizontal="left" vertical="top" wrapText="1"/>
    </xf>
    <xf numFmtId="0" fontId="9" fillId="0" borderId="0" xfId="0" applyFont="1" applyProtection="1"/>
    <xf numFmtId="0" fontId="8" fillId="0" borderId="0" xfId="0" applyFont="1" applyProtection="1"/>
    <xf numFmtId="0" fontId="10" fillId="0" borderId="0" xfId="0" applyFont="1" applyProtection="1"/>
    <xf numFmtId="0" fontId="0" fillId="0" borderId="1" xfId="0" applyBorder="1" applyAlignment="1" applyProtection="1">
      <alignment horizontal="right"/>
    </xf>
    <xf numFmtId="0" fontId="0" fillId="0" borderId="0" xfId="0" applyBorder="1" applyAlignment="1" applyProtection="1">
      <alignment horizontal="right"/>
    </xf>
  </cellXfs>
  <cellStyles count="77">
    <cellStyle name="Comma" xfId="3" builtinId="3"/>
    <cellStyle name="Druckdatum" xfId="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6" builtinId="8"/>
    <cellStyle name="Normal" xfId="0" builtinId="0"/>
    <cellStyle name="Normal 2" xfId="2"/>
    <cellStyle name="Normal 3" xfId="73"/>
    <cellStyle name="Normal 3 2" xfId="75"/>
    <cellStyle name="Normal 4" xfId="74"/>
    <cellStyle name="Percent" xfId="58" builtinId="5"/>
  </cellStyles>
  <dxfs count="0"/>
  <tableStyles count="0" defaultTableStyle="TableStyleMedium9" defaultPivotStyle="PivotStyleLight16"/>
  <colors>
    <mruColors>
      <color rgb="FFED6B4D"/>
      <color rgb="FFF18E77"/>
      <color rgb="FFF6B4A4"/>
      <color rgb="FFC4C4C4"/>
      <color rgb="FFF6B7A8"/>
      <color rgb="FFA3A3A3"/>
      <color rgb="FFF4A390"/>
      <color rgb="FF808080"/>
      <color rgb="FFFFFFCC"/>
      <color rgb="FF0D43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2">
                    <a:lumMod val="25000"/>
                  </a:schemeClr>
                </a:solidFill>
              </a:rPr>
              <a:t>Li-ion</a:t>
            </a:r>
            <a:r>
              <a:rPr lang="en-US" baseline="0">
                <a:solidFill>
                  <a:schemeClr val="bg2">
                    <a:lumMod val="25000"/>
                  </a:schemeClr>
                </a:solidFill>
              </a:rPr>
              <a:t> c</a:t>
            </a:r>
            <a:r>
              <a:rPr lang="en-US">
                <a:solidFill>
                  <a:schemeClr val="bg2">
                    <a:lumMod val="25000"/>
                  </a:schemeClr>
                </a:solidFill>
              </a:rPr>
              <a:t>ost improvement curve (%)</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5">
                  <a:lumMod val="60000"/>
                  <a:lumOff val="40000"/>
                </a:schemeClr>
              </a:solidFill>
              <a:round/>
            </a:ln>
            <a:effectLst/>
          </c:spPr>
          <c:marker>
            <c:symbol val="none"/>
          </c:marker>
          <c:trendline>
            <c:spPr>
              <a:ln w="19050" cap="rnd">
                <a:solidFill>
                  <a:schemeClr val="accent1"/>
                </a:solidFill>
                <a:prstDash val="sysDot"/>
              </a:ln>
              <a:effectLst/>
            </c:spPr>
            <c:trendlineType val="power"/>
            <c:dispRSqr val="0"/>
            <c:dispEq val="0"/>
          </c:trendline>
          <c:xVal>
            <c:numRef>
              <c:f>'Cost projections'!$I$10:$I$17</c:f>
              <c:numCache>
                <c:formatCode>General</c:formatCode>
                <c:ptCount val="8"/>
                <c:pt idx="0">
                  <c:v>2015</c:v>
                </c:pt>
                <c:pt idx="1">
                  <c:v>2020</c:v>
                </c:pt>
                <c:pt idx="2">
                  <c:v>2025</c:v>
                </c:pt>
                <c:pt idx="3">
                  <c:v>2030</c:v>
                </c:pt>
                <c:pt idx="4">
                  <c:v>2035</c:v>
                </c:pt>
                <c:pt idx="5">
                  <c:v>2040</c:v>
                </c:pt>
                <c:pt idx="6">
                  <c:v>2045</c:v>
                </c:pt>
                <c:pt idx="7">
                  <c:v>2050</c:v>
                </c:pt>
              </c:numCache>
            </c:numRef>
          </c:xVal>
          <c:yVal>
            <c:numRef>
              <c:f>'Cost projections'!$J$10:$J$17</c:f>
              <c:numCache>
                <c:formatCode>General</c:formatCode>
                <c:ptCount val="8"/>
                <c:pt idx="0">
                  <c:v>100</c:v>
                </c:pt>
                <c:pt idx="1">
                  <c:v>55</c:v>
                </c:pt>
                <c:pt idx="2">
                  <c:v>34</c:v>
                </c:pt>
                <c:pt idx="3">
                  <c:v>23</c:v>
                </c:pt>
                <c:pt idx="4">
                  <c:v>18</c:v>
                </c:pt>
                <c:pt idx="5">
                  <c:v>16</c:v>
                </c:pt>
                <c:pt idx="6">
                  <c:v>15</c:v>
                </c:pt>
                <c:pt idx="7">
                  <c:v>14</c:v>
                </c:pt>
              </c:numCache>
            </c:numRef>
          </c:yVal>
          <c:smooth val="1"/>
          <c:extLst>
            <c:ext xmlns:c16="http://schemas.microsoft.com/office/drawing/2014/chart" uri="{C3380CC4-5D6E-409C-BE32-E72D297353CC}">
              <c16:uniqueId val="{00000000-B031-46DF-969C-FFD920CD12EB}"/>
            </c:ext>
          </c:extLst>
        </c:ser>
        <c:dLbls>
          <c:showLegendKey val="0"/>
          <c:showVal val="0"/>
          <c:showCatName val="0"/>
          <c:showSerName val="0"/>
          <c:showPercent val="0"/>
          <c:showBubbleSize val="0"/>
        </c:dLbls>
        <c:axId val="820622816"/>
        <c:axId val="820622400"/>
      </c:scatterChart>
      <c:valAx>
        <c:axId val="820622816"/>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bg2">
                        <a:lumMod val="25000"/>
                      </a:schemeClr>
                    </a:solidFill>
                    <a:latin typeface="+mn-lt"/>
                    <a:ea typeface="+mn-ea"/>
                    <a:cs typeface="+mn-cs"/>
                  </a:defRPr>
                </a:pPr>
                <a:r>
                  <a:rPr lang="en-US">
                    <a:solidFill>
                      <a:schemeClr val="bg2">
                        <a:lumMod val="25000"/>
                      </a:schemeClr>
                    </a:solidFill>
                  </a:rPr>
                  <a:t>Year</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bg2">
                      <a:lumMod val="2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2">
                    <a:lumMod val="25000"/>
                  </a:schemeClr>
                </a:solidFill>
                <a:latin typeface="+mn-lt"/>
                <a:ea typeface="+mn-ea"/>
                <a:cs typeface="+mn-cs"/>
              </a:defRPr>
            </a:pPr>
            <a:endParaRPr lang="en-US"/>
          </a:p>
        </c:txPr>
        <c:crossAx val="820622400"/>
        <c:crosses val="autoZero"/>
        <c:crossBetween val="midCat"/>
      </c:valAx>
      <c:valAx>
        <c:axId val="82062240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bg2">
                        <a:lumMod val="25000"/>
                      </a:schemeClr>
                    </a:solidFill>
                  </a:rPr>
                  <a:t>Cost</a:t>
                </a:r>
                <a:r>
                  <a:rPr lang="en-US" baseline="0">
                    <a:solidFill>
                      <a:schemeClr val="bg2">
                        <a:lumMod val="25000"/>
                      </a:schemeClr>
                    </a:solidFill>
                  </a:rPr>
                  <a:t> improvement relative to base year (%)</a:t>
                </a:r>
                <a:endParaRPr lang="en-US">
                  <a:solidFill>
                    <a:schemeClr val="bg2">
                      <a:lumMod val="25000"/>
                    </a:schemeClr>
                  </a:solidFill>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6228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checked="Checked" firstButton="1" lockText="1" noThreeD="1"/>
</file>

<file path=xl/ctrlProps/ctrlProp7.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673100</xdr:colOff>
      <xdr:row>4</xdr:row>
      <xdr:rowOff>19051</xdr:rowOff>
    </xdr:from>
    <xdr:to>
      <xdr:col>9</xdr:col>
      <xdr:colOff>311150</xdr:colOff>
      <xdr:row>8</xdr:row>
      <xdr:rowOff>54685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845050" y="603251"/>
          <a:ext cx="1708150" cy="86113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2667000</xdr:colOff>
          <xdr:row>3</xdr:row>
          <xdr:rowOff>38100</xdr:rowOff>
        </xdr:from>
        <xdr:to>
          <xdr:col>1</xdr:col>
          <xdr:colOff>3251200</xdr:colOff>
          <xdr:row>5</xdr:row>
          <xdr:rowOff>0</xdr:rowOff>
        </xdr:to>
        <xdr:sp macro="" textlink="">
          <xdr:nvSpPr>
            <xdr:cNvPr id="12328" name="Option Button 40" hidden="1">
              <a:extLst>
                <a:ext uri="{63B3BB69-23CF-44E3-9099-C40C66FF867C}">
                  <a14:compatExt spid="_x0000_s12328"/>
                </a:ext>
                <a:ext uri="{FF2B5EF4-FFF2-40B4-BE49-F238E27FC236}">
                  <a16:creationId xmlns:a16="http://schemas.microsoft.com/office/drawing/2014/main" id="{00000000-0008-0000-0200-000028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Solar PV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3</xdr:row>
          <xdr:rowOff>25400</xdr:rowOff>
        </xdr:from>
        <xdr:to>
          <xdr:col>4</xdr:col>
          <xdr:colOff>12700</xdr:colOff>
          <xdr:row>4</xdr:row>
          <xdr:rowOff>139700</xdr:rowOff>
        </xdr:to>
        <xdr:sp macro="" textlink="">
          <xdr:nvSpPr>
            <xdr:cNvPr id="12329" name="Option Button 41" hidden="1">
              <a:extLst>
                <a:ext uri="{63B3BB69-23CF-44E3-9099-C40C66FF867C}">
                  <a14:compatExt spid="_x0000_s12329"/>
                </a:ext>
                <a:ext uri="{FF2B5EF4-FFF2-40B4-BE49-F238E27FC236}">
                  <a16:creationId xmlns:a16="http://schemas.microsoft.com/office/drawing/2014/main" id="{00000000-0008-0000-0200-000029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Wind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3</xdr:row>
          <xdr:rowOff>25400</xdr:rowOff>
        </xdr:from>
        <xdr:to>
          <xdr:col>5</xdr:col>
          <xdr:colOff>622300</xdr:colOff>
          <xdr:row>4</xdr:row>
          <xdr:rowOff>139700</xdr:rowOff>
        </xdr:to>
        <xdr:sp macro="" textlink="">
          <xdr:nvSpPr>
            <xdr:cNvPr id="12331" name="Option Button 43" hidden="1">
              <a:extLst>
                <a:ext uri="{63B3BB69-23CF-44E3-9099-C40C66FF867C}">
                  <a14:compatExt spid="_x0000_s12331"/>
                </a:ext>
                <a:ext uri="{FF2B5EF4-FFF2-40B4-BE49-F238E27FC236}">
                  <a16:creationId xmlns:a16="http://schemas.microsoft.com/office/drawing/2014/main" id="{00000000-0008-0000-0200-00002B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Biomass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863600</xdr:colOff>
          <xdr:row>3</xdr:row>
          <xdr:rowOff>25400</xdr:rowOff>
        </xdr:from>
        <xdr:to>
          <xdr:col>6</xdr:col>
          <xdr:colOff>546100</xdr:colOff>
          <xdr:row>4</xdr:row>
          <xdr:rowOff>139700</xdr:rowOff>
        </xdr:to>
        <xdr:sp macro="" textlink="">
          <xdr:nvSpPr>
            <xdr:cNvPr id="12332" name="Option Button 44" hidden="1">
              <a:extLst>
                <a:ext uri="{63B3BB69-23CF-44E3-9099-C40C66FF867C}">
                  <a14:compatExt spid="_x0000_s12332"/>
                </a:ext>
                <a:ext uri="{FF2B5EF4-FFF2-40B4-BE49-F238E27FC236}">
                  <a16:creationId xmlns:a16="http://schemas.microsoft.com/office/drawing/2014/main" id="{00000000-0008-0000-0200-00002C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Bagasse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50800</xdr:colOff>
          <xdr:row>3</xdr:row>
          <xdr:rowOff>12700</xdr:rowOff>
        </xdr:from>
        <xdr:to>
          <xdr:col>10</xdr:col>
          <xdr:colOff>101600</xdr:colOff>
          <xdr:row>5</xdr:row>
          <xdr:rowOff>0</xdr:rowOff>
        </xdr:to>
        <xdr:sp macro="" textlink="">
          <xdr:nvSpPr>
            <xdr:cNvPr id="12334" name="Option Button 46" hidden="1">
              <a:extLst>
                <a:ext uri="{63B3BB69-23CF-44E3-9099-C40C66FF867C}">
                  <a14:compatExt spid="_x0000_s12334"/>
                </a:ext>
                <a:ext uri="{FF2B5EF4-FFF2-40B4-BE49-F238E27FC236}">
                  <a16:creationId xmlns:a16="http://schemas.microsoft.com/office/drawing/2014/main" id="{00000000-0008-0000-0200-00002E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Small Hydro</a:t>
              </a:r>
            </a:p>
          </xdr:txBody>
        </xdr:sp>
        <xdr:clientData/>
      </xdr:twoCellAnchor>
    </mc:Choice>
    <mc:Fallback/>
  </mc:AlternateContent>
  <xdr:twoCellAnchor>
    <xdr:from>
      <xdr:col>10</xdr:col>
      <xdr:colOff>990600</xdr:colOff>
      <xdr:row>17</xdr:row>
      <xdr:rowOff>133350</xdr:rowOff>
    </xdr:from>
    <xdr:to>
      <xdr:col>12</xdr:col>
      <xdr:colOff>95250</xdr:colOff>
      <xdr:row>19</xdr:row>
      <xdr:rowOff>69850</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8134350" y="2940050"/>
          <a:ext cx="2736850" cy="266700"/>
          <a:chOff x="7378700" y="3327400"/>
          <a:chExt cx="2743200" cy="266700"/>
        </a:xfrm>
      </xdr:grpSpPr>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7378700" y="3327400"/>
            <a:ext cx="1765300" cy="265176"/>
          </a:xfrm>
          <a:prstGeom prst="rect">
            <a:avLst/>
          </a:prstGeom>
          <a:solidFill>
            <a:srgbClr val="F6B4A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i="0">
                <a:solidFill>
                  <a:schemeClr val="bg2">
                    <a:lumMod val="25000"/>
                  </a:schemeClr>
                </a:solidFill>
                <a:latin typeface="+mj-lt"/>
                <a:ea typeface="+mn-ea"/>
                <a:cs typeface="+mn-cs"/>
              </a:rPr>
              <a:t>Levelised cost of energy is</a:t>
            </a:r>
          </a:p>
        </xdr:txBody>
      </xdr:sp>
      <xdr:sp macro="" textlink="LCOE">
        <xdr:nvSpPr>
          <xdr:cNvPr id="9" name="TextBox 8">
            <a:extLst>
              <a:ext uri="{FF2B5EF4-FFF2-40B4-BE49-F238E27FC236}">
                <a16:creationId xmlns:a16="http://schemas.microsoft.com/office/drawing/2014/main" id="{00000000-0008-0000-0200-000009000000}"/>
              </a:ext>
            </a:extLst>
          </xdr:cNvPr>
          <xdr:cNvSpPr txBox="1"/>
        </xdr:nvSpPr>
        <xdr:spPr>
          <a:xfrm>
            <a:off x="9099550" y="3327400"/>
            <a:ext cx="558800" cy="266700"/>
          </a:xfrm>
          <a:prstGeom prst="rect">
            <a:avLst/>
          </a:prstGeom>
          <a:solidFill>
            <a:srgbClr val="F6B4A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3A314BAF-9F36-4E24-92D3-1A6A6A382060}" type="TxLink">
              <a:rPr lang="en-US" sz="1100" b="0" i="0" u="none" strike="noStrike">
                <a:solidFill>
                  <a:schemeClr val="bg2">
                    <a:lumMod val="25000"/>
                  </a:schemeClr>
                </a:solidFill>
                <a:latin typeface="+mj-lt"/>
                <a:ea typeface="+mn-ea"/>
                <a:cs typeface="Calibri"/>
              </a:rPr>
              <a:pPr marL="0" indent="0" algn="r"/>
              <a:t> 3.39 </a:t>
            </a:fld>
            <a:endParaRPr lang="en-US" sz="1100" b="0" i="0" u="none" strike="noStrike">
              <a:solidFill>
                <a:schemeClr val="bg2">
                  <a:lumMod val="25000"/>
                </a:schemeClr>
              </a:solidFill>
              <a:latin typeface="+mj-lt"/>
              <a:ea typeface="+mn-ea"/>
              <a:cs typeface="Calibri"/>
            </a:endParaRPr>
          </a:p>
        </xdr:txBody>
      </xdr:sp>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9594850" y="3327400"/>
            <a:ext cx="527050" cy="265176"/>
          </a:xfrm>
          <a:prstGeom prst="rect">
            <a:avLst/>
          </a:prstGeom>
          <a:solidFill>
            <a:srgbClr val="F6B4A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0" i="0">
                <a:solidFill>
                  <a:schemeClr val="bg2">
                    <a:lumMod val="25000"/>
                  </a:schemeClr>
                </a:solidFill>
                <a:latin typeface="+mj-lt"/>
                <a:ea typeface="+mn-ea"/>
                <a:cs typeface="+mn-cs"/>
              </a:rPr>
              <a:t> kWh </a:t>
            </a:r>
          </a:p>
        </xdr:txBody>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2533650</xdr:colOff>
          <xdr:row>3</xdr:row>
          <xdr:rowOff>25400</xdr:rowOff>
        </xdr:from>
        <xdr:to>
          <xdr:col>5</xdr:col>
          <xdr:colOff>488950</xdr:colOff>
          <xdr:row>4</xdr:row>
          <xdr:rowOff>139700</xdr:rowOff>
        </xdr:to>
        <xdr:sp macro="" textlink="">
          <xdr:nvSpPr>
            <xdr:cNvPr id="33795" name="Option Button 3" hidden="1">
              <a:extLst>
                <a:ext uri="{63B3BB69-23CF-44E3-9099-C40C66FF867C}">
                  <a14:compatExt spid="_x0000_s33795"/>
                </a:ext>
                <a:ext uri="{FF2B5EF4-FFF2-40B4-BE49-F238E27FC236}">
                  <a16:creationId xmlns:a16="http://schemas.microsoft.com/office/drawing/2014/main" id="{00000000-0008-0000-0500-0000038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 Solar PV + Li-ion storage (medium  capacity)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889000</xdr:colOff>
          <xdr:row>3</xdr:row>
          <xdr:rowOff>12700</xdr:rowOff>
        </xdr:from>
        <xdr:to>
          <xdr:col>10</xdr:col>
          <xdr:colOff>31750</xdr:colOff>
          <xdr:row>5</xdr:row>
          <xdr:rowOff>0</xdr:rowOff>
        </xdr:to>
        <xdr:sp macro="" textlink="">
          <xdr:nvSpPr>
            <xdr:cNvPr id="33799" name="Option Button 7" hidden="1">
              <a:extLst>
                <a:ext uri="{63B3BB69-23CF-44E3-9099-C40C66FF867C}">
                  <a14:compatExt spid="_x0000_s33799"/>
                </a:ext>
                <a:ext uri="{FF2B5EF4-FFF2-40B4-BE49-F238E27FC236}">
                  <a16:creationId xmlns:a16="http://schemas.microsoft.com/office/drawing/2014/main" id="{00000000-0008-0000-0500-0000078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Standalone Li-ion storage</a:t>
              </a:r>
            </a:p>
          </xdr:txBody>
        </xdr:sp>
        <xdr:clientData/>
      </xdr:twoCellAnchor>
    </mc:Choice>
    <mc:Fallback/>
  </mc:AlternateContent>
  <xdr:twoCellAnchor>
    <xdr:from>
      <xdr:col>10</xdr:col>
      <xdr:colOff>304800</xdr:colOff>
      <xdr:row>19</xdr:row>
      <xdr:rowOff>127000</xdr:rowOff>
    </xdr:from>
    <xdr:to>
      <xdr:col>12</xdr:col>
      <xdr:colOff>431800</xdr:colOff>
      <xdr:row>21</xdr:row>
      <xdr:rowOff>63500</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7302500" y="3282950"/>
          <a:ext cx="3479800" cy="330200"/>
          <a:chOff x="7543800" y="3282950"/>
          <a:chExt cx="3486150" cy="330200"/>
        </a:xfrm>
      </xdr:grpSpPr>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7543800" y="3282950"/>
            <a:ext cx="2243402" cy="328313"/>
          </a:xfrm>
          <a:prstGeom prst="rect">
            <a:avLst/>
          </a:prstGeom>
          <a:solidFill>
            <a:srgbClr val="F6B4A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chemeClr val="bg2">
                    <a:lumMod val="25000"/>
                  </a:schemeClr>
                </a:solidFill>
                <a:latin typeface="+mj-lt"/>
                <a:ea typeface="+mn-ea"/>
                <a:cs typeface="+mn-cs"/>
              </a:rPr>
              <a:t>Levelised cost of storage is</a:t>
            </a:r>
          </a:p>
        </xdr:txBody>
      </xdr:sp>
      <xdr:sp macro="" textlink="LCOS">
        <xdr:nvSpPr>
          <xdr:cNvPr id="5" name="TextBox 4">
            <a:extLst>
              <a:ext uri="{FF2B5EF4-FFF2-40B4-BE49-F238E27FC236}">
                <a16:creationId xmlns:a16="http://schemas.microsoft.com/office/drawing/2014/main" id="{00000000-0008-0000-0500-000005000000}"/>
              </a:ext>
            </a:extLst>
          </xdr:cNvPr>
          <xdr:cNvSpPr txBox="1"/>
        </xdr:nvSpPr>
        <xdr:spPr>
          <a:xfrm>
            <a:off x="9584664" y="3282950"/>
            <a:ext cx="710142" cy="330200"/>
          </a:xfrm>
          <a:prstGeom prst="rect">
            <a:avLst/>
          </a:prstGeom>
          <a:solidFill>
            <a:srgbClr val="F6B4A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fld id="{CD1F4598-229D-4467-94D3-841B4699D677}" type="TxLink">
              <a:rPr lang="en-US" sz="1100" b="0" i="0" u="none" strike="noStrike">
                <a:solidFill>
                  <a:schemeClr val="bg2">
                    <a:lumMod val="25000"/>
                  </a:schemeClr>
                </a:solidFill>
                <a:latin typeface="+mj-lt"/>
                <a:ea typeface="+mn-ea"/>
                <a:cs typeface="Calibri"/>
              </a:rPr>
              <a:pPr marL="0" indent="0" algn="r"/>
              <a:t> 10.47 </a:t>
            </a:fld>
            <a:endParaRPr lang="en-US" sz="1100" b="0" i="0" u="none" strike="noStrike">
              <a:solidFill>
                <a:schemeClr val="bg2">
                  <a:lumMod val="25000"/>
                </a:schemeClr>
              </a:solidFill>
              <a:latin typeface="+mj-lt"/>
              <a:ea typeface="+mn-ea"/>
              <a:cs typeface="Calibri"/>
            </a:endParaRPr>
          </a:p>
        </xdr:txBody>
      </xdr:sp>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0210800" y="3282950"/>
            <a:ext cx="819150" cy="328313"/>
          </a:xfrm>
          <a:prstGeom prst="rect">
            <a:avLst/>
          </a:prstGeom>
          <a:solidFill>
            <a:srgbClr val="F6B4A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0">
                <a:solidFill>
                  <a:schemeClr val="bg2">
                    <a:lumMod val="25000"/>
                  </a:schemeClr>
                </a:solidFill>
                <a:latin typeface="+mj-lt"/>
                <a:ea typeface="+mn-ea"/>
                <a:cs typeface="+mn-cs"/>
              </a:rPr>
              <a:t> INR/kWh </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251567</xdr:colOff>
      <xdr:row>2</xdr:row>
      <xdr:rowOff>18473</xdr:rowOff>
    </xdr:from>
    <xdr:to>
      <xdr:col>16</xdr:col>
      <xdr:colOff>228600</xdr:colOff>
      <xdr:row>21</xdr:row>
      <xdr:rowOff>153556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tnerc.gov.in/orders/Tariff%20Order%202009/2018/BiomassT.O.3of2018.pdf" TargetMode="External"/><Relationship Id="rId7" Type="http://schemas.openxmlformats.org/officeDocument/2006/relationships/comments" Target="../comments3.xml"/><Relationship Id="rId2" Type="http://schemas.openxmlformats.org/officeDocument/2006/relationships/hyperlink" Target="http://www.tnerc.gov.in/orders/Tariff%20Order%202009/2018/Wind-6of2018.pdf" TargetMode="External"/><Relationship Id="rId1" Type="http://schemas.openxmlformats.org/officeDocument/2006/relationships/hyperlink" Target="http://www.tnerc.gov.in/orders/Tariff%20Order%202009/2019/Solar-5-29-03-2019.pdf" TargetMode="External"/><Relationship Id="rId6" Type="http://schemas.openxmlformats.org/officeDocument/2006/relationships/vmlDrawing" Target="../drawings/vmlDrawing3.vml"/><Relationship Id="rId5" Type="http://schemas.openxmlformats.org/officeDocument/2006/relationships/hyperlink" Target="http://www.cercind.gov.in/2018/orders/02.pdf" TargetMode="External"/><Relationship Id="rId4" Type="http://schemas.openxmlformats.org/officeDocument/2006/relationships/hyperlink" Target="http://www.tnerc.gov.in/orders/Tariff%20Order%202009/2018/BaggasseT.O-4of2018.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4C4C4"/>
    <pageSetUpPr fitToPage="1"/>
  </sheetPr>
  <dimension ref="E8:O29"/>
  <sheetViews>
    <sheetView showGridLines="0" topLeftCell="A8" workbookViewId="0">
      <selection activeCell="G19" sqref="G19"/>
    </sheetView>
  </sheetViews>
  <sheetFormatPr defaultColWidth="8.81640625" defaultRowHeight="11.5"/>
  <cols>
    <col min="4" max="4" width="6" customWidth="1"/>
    <col min="5" max="5" width="14.81640625" customWidth="1"/>
    <col min="6" max="6" width="12.453125" customWidth="1"/>
    <col min="7" max="7" width="12" customWidth="1"/>
    <col min="16" max="16" width="1.81640625" customWidth="1"/>
  </cols>
  <sheetData>
    <row r="8" spans="5:15" ht="30.75" customHeight="1">
      <c r="E8" s="6"/>
    </row>
    <row r="10" spans="5:15" ht="27.5">
      <c r="E10" s="209" t="s">
        <v>201</v>
      </c>
      <c r="F10" s="210"/>
      <c r="G10" s="210"/>
      <c r="H10" s="210"/>
      <c r="I10" s="211"/>
      <c r="J10" s="211"/>
      <c r="K10" s="212"/>
      <c r="L10" s="212"/>
      <c r="M10" s="212"/>
      <c r="N10" s="212"/>
      <c r="O10" s="212"/>
    </row>
    <row r="11" spans="5:15" ht="17.5">
      <c r="E11" s="2"/>
      <c r="F11" s="2"/>
      <c r="G11" s="2"/>
      <c r="H11" s="2"/>
      <c r="I11" s="2"/>
      <c r="J11" s="2"/>
    </row>
    <row r="13" spans="5:15" ht="14.5">
      <c r="E13" s="221" t="s">
        <v>87</v>
      </c>
      <c r="F13" s="221" t="s">
        <v>64</v>
      </c>
      <c r="G13" s="222"/>
      <c r="H13" s="1"/>
    </row>
    <row r="14" spans="5:15" ht="14.5">
      <c r="E14" s="221"/>
      <c r="F14" s="221" t="s">
        <v>63</v>
      </c>
      <c r="G14" s="221"/>
    </row>
    <row r="15" spans="5:15" ht="14.5">
      <c r="E15" s="221"/>
      <c r="F15" s="221" t="s">
        <v>65</v>
      </c>
      <c r="G15" s="221"/>
    </row>
    <row r="16" spans="5:15" ht="14.5">
      <c r="E16" s="221"/>
      <c r="F16" s="221"/>
      <c r="G16" s="221"/>
    </row>
    <row r="17" spans="5:14" ht="14.5">
      <c r="E17" s="221" t="s">
        <v>217</v>
      </c>
      <c r="F17" s="223" t="s">
        <v>224</v>
      </c>
      <c r="G17" s="221"/>
    </row>
    <row r="18" spans="5:14">
      <c r="E18" s="83"/>
    </row>
    <row r="22" spans="5:14">
      <c r="E22" s="242" t="s">
        <v>236</v>
      </c>
      <c r="F22" s="242"/>
      <c r="G22" s="242"/>
      <c r="H22" s="242"/>
      <c r="I22" s="242"/>
      <c r="J22" s="242"/>
      <c r="K22" s="242"/>
      <c r="L22" s="242"/>
      <c r="M22" s="242"/>
      <c r="N22" s="242"/>
    </row>
    <row r="23" spans="5:14">
      <c r="E23" s="242"/>
      <c r="F23" s="242"/>
      <c r="G23" s="242"/>
      <c r="H23" s="242"/>
      <c r="I23" s="242"/>
      <c r="J23" s="242"/>
      <c r="K23" s="242"/>
      <c r="L23" s="242"/>
      <c r="M23" s="242"/>
      <c r="N23" s="242"/>
    </row>
    <row r="24" spans="5:14">
      <c r="E24" s="242"/>
      <c r="F24" s="242"/>
      <c r="G24" s="242"/>
      <c r="H24" s="242"/>
      <c r="I24" s="242"/>
      <c r="J24" s="242"/>
      <c r="K24" s="242"/>
      <c r="L24" s="242"/>
      <c r="M24" s="242"/>
      <c r="N24" s="242"/>
    </row>
    <row r="25" spans="5:14">
      <c r="E25" s="242"/>
      <c r="F25" s="242"/>
      <c r="G25" s="242"/>
      <c r="H25" s="242"/>
      <c r="I25" s="242"/>
      <c r="J25" s="242"/>
      <c r="K25" s="242"/>
      <c r="L25" s="242"/>
      <c r="M25" s="242"/>
      <c r="N25" s="242"/>
    </row>
    <row r="26" spans="5:14">
      <c r="E26" s="242"/>
      <c r="F26" s="242"/>
      <c r="G26" s="242"/>
      <c r="H26" s="242"/>
      <c r="I26" s="242"/>
      <c r="J26" s="242"/>
      <c r="K26" s="242"/>
      <c r="L26" s="242"/>
      <c r="M26" s="242"/>
      <c r="N26" s="242"/>
    </row>
    <row r="27" spans="5:14">
      <c r="E27" s="242"/>
      <c r="F27" s="242"/>
      <c r="G27" s="242"/>
      <c r="H27" s="242"/>
      <c r="I27" s="242"/>
      <c r="J27" s="242"/>
      <c r="K27" s="242"/>
      <c r="L27" s="242"/>
      <c r="M27" s="242"/>
      <c r="N27" s="242"/>
    </row>
    <row r="28" spans="5:14">
      <c r="E28" s="242"/>
      <c r="F28" s="242"/>
      <c r="G28" s="242"/>
      <c r="H28" s="242"/>
      <c r="I28" s="242"/>
      <c r="J28" s="242"/>
      <c r="K28" s="242"/>
      <c r="L28" s="242"/>
      <c r="M28" s="242"/>
      <c r="N28" s="242"/>
    </row>
    <row r="29" spans="5:14">
      <c r="E29" s="242"/>
      <c r="F29" s="242"/>
      <c r="G29" s="242"/>
      <c r="H29" s="242"/>
      <c r="I29" s="242"/>
      <c r="J29" s="242"/>
      <c r="K29" s="242"/>
      <c r="L29" s="242"/>
      <c r="M29" s="242"/>
      <c r="N29" s="242"/>
    </row>
  </sheetData>
  <sheetProtection sheet="1" selectLockedCells="1" selectUnlockedCells="1"/>
  <mergeCells count="1">
    <mergeCell ref="E22:N29"/>
  </mergeCells>
  <pageMargins left="0.9055118110236221" right="0.9055118110236221" top="0.74803149606299213" bottom="0.74803149606299213" header="0.31496062992125984" footer="0.31496062992125984"/>
  <headerFooter>
    <oddFooter>&amp;RPage &amp;P  / &amp;N</oddFoot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4C4C4"/>
  </sheetPr>
  <dimension ref="B1:X71"/>
  <sheetViews>
    <sheetView showGridLines="0" workbookViewId="0">
      <selection activeCell="Q13" sqref="Q13"/>
    </sheetView>
  </sheetViews>
  <sheetFormatPr defaultColWidth="8.81640625" defaultRowHeight="11.5"/>
  <cols>
    <col min="2" max="2" width="2.453125" customWidth="1"/>
  </cols>
  <sheetData>
    <row r="1" spans="2:13" ht="14">
      <c r="B1" s="198" t="s">
        <v>199</v>
      </c>
      <c r="C1" s="199"/>
      <c r="D1" s="199"/>
      <c r="E1" s="199"/>
      <c r="F1" s="200"/>
      <c r="G1" s="198"/>
      <c r="H1" s="199"/>
      <c r="I1" s="199"/>
      <c r="J1" s="199"/>
      <c r="K1" s="200"/>
      <c r="L1" s="198"/>
      <c r="M1" s="199"/>
    </row>
    <row r="2" spans="2:13" ht="13" customHeight="1">
      <c r="B2" s="246" t="s">
        <v>234</v>
      </c>
      <c r="C2" s="246"/>
      <c r="D2" s="246"/>
      <c r="E2" s="246"/>
      <c r="F2" s="246"/>
      <c r="G2" s="246"/>
      <c r="H2" s="246"/>
      <c r="I2" s="246"/>
      <c r="J2" s="246"/>
      <c r="K2" s="246"/>
      <c r="L2" s="246"/>
      <c r="M2" s="246"/>
    </row>
    <row r="3" spans="2:13" ht="11.5" customHeight="1">
      <c r="B3" s="246"/>
      <c r="C3" s="246"/>
      <c r="D3" s="246"/>
      <c r="E3" s="246"/>
      <c r="F3" s="246"/>
      <c r="G3" s="246"/>
      <c r="H3" s="246"/>
      <c r="I3" s="246"/>
      <c r="J3" s="246"/>
      <c r="K3" s="246"/>
      <c r="L3" s="246"/>
      <c r="M3" s="246"/>
    </row>
    <row r="4" spans="2:13" ht="11.5" customHeight="1">
      <c r="B4" s="246"/>
      <c r="C4" s="246"/>
      <c r="D4" s="246"/>
      <c r="E4" s="246"/>
      <c r="F4" s="246"/>
      <c r="G4" s="246"/>
      <c r="H4" s="246"/>
      <c r="I4" s="246"/>
      <c r="J4" s="246"/>
      <c r="K4" s="246"/>
      <c r="L4" s="246"/>
      <c r="M4" s="246"/>
    </row>
    <row r="5" spans="2:13" ht="11.5" customHeight="1">
      <c r="B5" s="246"/>
      <c r="C5" s="246"/>
      <c r="D5" s="246"/>
      <c r="E5" s="246"/>
      <c r="F5" s="246"/>
      <c r="G5" s="246"/>
      <c r="H5" s="246"/>
      <c r="I5" s="246"/>
      <c r="J5" s="246"/>
      <c r="K5" s="246"/>
      <c r="L5" s="246"/>
      <c r="M5" s="246"/>
    </row>
    <row r="6" spans="2:13" ht="11.5" customHeight="1">
      <c r="B6" s="246"/>
      <c r="C6" s="246"/>
      <c r="D6" s="246"/>
      <c r="E6" s="246"/>
      <c r="F6" s="246"/>
      <c r="G6" s="246"/>
      <c r="H6" s="246"/>
      <c r="I6" s="246"/>
      <c r="J6" s="246"/>
      <c r="K6" s="246"/>
      <c r="L6" s="246"/>
      <c r="M6" s="246"/>
    </row>
    <row r="7" spans="2:13" ht="11.5" customHeight="1">
      <c r="B7" s="246"/>
      <c r="C7" s="246"/>
      <c r="D7" s="246"/>
      <c r="E7" s="246"/>
      <c r="F7" s="246"/>
      <c r="G7" s="246"/>
      <c r="H7" s="246"/>
      <c r="I7" s="246"/>
      <c r="J7" s="246"/>
      <c r="K7" s="246"/>
      <c r="L7" s="246"/>
      <c r="M7" s="246"/>
    </row>
    <row r="8" spans="2:13" ht="11.5" customHeight="1">
      <c r="B8" s="246"/>
      <c r="C8" s="246"/>
      <c r="D8" s="246"/>
      <c r="E8" s="246"/>
      <c r="F8" s="246"/>
      <c r="G8" s="246"/>
      <c r="H8" s="246"/>
      <c r="I8" s="246"/>
      <c r="J8" s="246"/>
      <c r="K8" s="246"/>
      <c r="L8" s="246"/>
      <c r="M8" s="246"/>
    </row>
    <row r="9" spans="2:13" ht="11.5" customHeight="1">
      <c r="B9" s="246"/>
      <c r="C9" s="246"/>
      <c r="D9" s="246"/>
      <c r="E9" s="246"/>
      <c r="F9" s="246"/>
      <c r="G9" s="246"/>
      <c r="H9" s="246"/>
      <c r="I9" s="246"/>
      <c r="J9" s="246"/>
      <c r="K9" s="246"/>
      <c r="L9" s="246"/>
      <c r="M9" s="246"/>
    </row>
    <row r="10" spans="2:13" ht="11.5" customHeight="1">
      <c r="B10" s="246"/>
      <c r="C10" s="246"/>
      <c r="D10" s="246"/>
      <c r="E10" s="246"/>
      <c r="F10" s="246"/>
      <c r="G10" s="246"/>
      <c r="H10" s="246"/>
      <c r="I10" s="246"/>
      <c r="J10" s="246"/>
      <c r="K10" s="246"/>
      <c r="L10" s="246"/>
      <c r="M10" s="246"/>
    </row>
    <row r="11" spans="2:13" ht="13" customHeight="1">
      <c r="B11" s="246"/>
      <c r="C11" s="246"/>
      <c r="D11" s="246"/>
      <c r="E11" s="246"/>
      <c r="F11" s="246"/>
      <c r="G11" s="246"/>
      <c r="H11" s="246"/>
      <c r="I11" s="246"/>
      <c r="J11" s="246"/>
      <c r="K11" s="246"/>
      <c r="L11" s="246"/>
      <c r="M11" s="246"/>
    </row>
    <row r="12" spans="2:13" ht="17.5" customHeight="1">
      <c r="B12" s="246"/>
      <c r="C12" s="246"/>
      <c r="D12" s="246"/>
      <c r="E12" s="246"/>
      <c r="F12" s="246"/>
      <c r="G12" s="246"/>
      <c r="H12" s="246"/>
      <c r="I12" s="246"/>
      <c r="J12" s="246"/>
      <c r="K12" s="246"/>
      <c r="L12" s="246"/>
      <c r="M12" s="246"/>
    </row>
    <row r="13" spans="2:13" ht="42.5" customHeight="1">
      <c r="B13" s="246"/>
      <c r="C13" s="246"/>
      <c r="D13" s="246"/>
      <c r="E13" s="246"/>
      <c r="F13" s="246"/>
      <c r="G13" s="246"/>
      <c r="H13" s="246"/>
      <c r="I13" s="246"/>
      <c r="J13" s="246"/>
      <c r="K13" s="246"/>
      <c r="L13" s="246"/>
      <c r="M13" s="246"/>
    </row>
    <row r="14" spans="2:13" ht="38.5" customHeight="1">
      <c r="B14" s="246"/>
      <c r="C14" s="246"/>
      <c r="D14" s="246"/>
      <c r="E14" s="246"/>
      <c r="F14" s="246"/>
      <c r="G14" s="246"/>
      <c r="H14" s="246"/>
      <c r="I14" s="246"/>
      <c r="J14" s="246"/>
      <c r="K14" s="246"/>
      <c r="L14" s="246"/>
      <c r="M14" s="246"/>
    </row>
    <row r="15" spans="2:13" ht="84.5" customHeight="1">
      <c r="B15" s="246"/>
      <c r="C15" s="246"/>
      <c r="D15" s="246"/>
      <c r="E15" s="246"/>
      <c r="F15" s="246"/>
      <c r="G15" s="246"/>
      <c r="H15" s="246"/>
      <c r="I15" s="246"/>
      <c r="J15" s="246"/>
      <c r="K15" s="246"/>
      <c r="L15" s="246"/>
      <c r="M15" s="246"/>
    </row>
    <row r="16" spans="2:13" ht="15.5" customHeight="1"/>
    <row r="17" spans="2:24" ht="14">
      <c r="B17" s="198" t="s">
        <v>200</v>
      </c>
      <c r="C17" s="199"/>
      <c r="D17" s="199"/>
      <c r="E17" s="199"/>
      <c r="F17" s="200"/>
      <c r="G17" s="198"/>
      <c r="H17" s="199"/>
      <c r="I17" s="199"/>
      <c r="J17" s="199"/>
      <c r="K17" s="200"/>
      <c r="L17" s="198"/>
      <c r="M17" s="199"/>
    </row>
    <row r="18" spans="2:24">
      <c r="B18" s="245" t="s">
        <v>233</v>
      </c>
      <c r="C18" s="245"/>
      <c r="D18" s="245"/>
      <c r="E18" s="245"/>
      <c r="F18" s="245"/>
      <c r="G18" s="245"/>
      <c r="H18" s="245"/>
      <c r="I18" s="245"/>
      <c r="J18" s="245"/>
      <c r="K18" s="245"/>
      <c r="L18" s="245"/>
      <c r="M18" s="245"/>
      <c r="O18" s="243"/>
      <c r="P18" s="244"/>
    </row>
    <row r="19" spans="2:24">
      <c r="B19" s="245"/>
      <c r="C19" s="245"/>
      <c r="D19" s="245"/>
      <c r="E19" s="245"/>
      <c r="F19" s="245"/>
      <c r="G19" s="245"/>
      <c r="H19" s="245"/>
      <c r="I19" s="245"/>
      <c r="J19" s="245"/>
      <c r="K19" s="245"/>
      <c r="L19" s="245"/>
      <c r="M19" s="245"/>
    </row>
    <row r="20" spans="2:24">
      <c r="B20" s="245"/>
      <c r="C20" s="245"/>
      <c r="D20" s="245"/>
      <c r="E20" s="245"/>
      <c r="F20" s="245"/>
      <c r="G20" s="245"/>
      <c r="H20" s="245"/>
      <c r="I20" s="245"/>
      <c r="J20" s="245"/>
      <c r="K20" s="245"/>
      <c r="L20" s="245"/>
      <c r="M20" s="245"/>
    </row>
    <row r="21" spans="2:24" ht="13" customHeight="1">
      <c r="B21" s="245"/>
      <c r="C21" s="245"/>
      <c r="D21" s="245"/>
      <c r="E21" s="245"/>
      <c r="F21" s="245"/>
      <c r="G21" s="245"/>
      <c r="H21" s="245"/>
      <c r="I21" s="245"/>
      <c r="J21" s="245"/>
      <c r="K21" s="245"/>
      <c r="L21" s="245"/>
      <c r="M21" s="245"/>
      <c r="O21" s="208"/>
      <c r="P21" s="208"/>
      <c r="Q21" s="208"/>
      <c r="R21" s="208"/>
      <c r="S21" s="208"/>
      <c r="T21" s="208"/>
      <c r="U21" s="208"/>
      <c r="V21" s="208"/>
      <c r="W21" s="208"/>
      <c r="X21" s="208"/>
    </row>
    <row r="22" spans="2:24">
      <c r="B22" s="245"/>
      <c r="C22" s="245"/>
      <c r="D22" s="245"/>
      <c r="E22" s="245"/>
      <c r="F22" s="245"/>
      <c r="G22" s="245"/>
      <c r="H22" s="245"/>
      <c r="I22" s="245"/>
      <c r="J22" s="245"/>
      <c r="K22" s="245"/>
      <c r="L22" s="245"/>
      <c r="M22" s="245"/>
      <c r="O22" s="208"/>
      <c r="P22" s="208"/>
      <c r="Q22" s="208"/>
      <c r="R22" s="208"/>
      <c r="S22" s="208"/>
      <c r="T22" s="208"/>
      <c r="U22" s="208"/>
      <c r="V22" s="208"/>
      <c r="W22" s="208"/>
      <c r="X22" s="208"/>
    </row>
    <row r="23" spans="2:24">
      <c r="B23" s="245"/>
      <c r="C23" s="245"/>
      <c r="D23" s="245"/>
      <c r="E23" s="245"/>
      <c r="F23" s="245"/>
      <c r="G23" s="245"/>
      <c r="H23" s="245"/>
      <c r="I23" s="245"/>
      <c r="J23" s="245"/>
      <c r="K23" s="245"/>
      <c r="L23" s="245"/>
      <c r="M23" s="245"/>
      <c r="O23" s="208"/>
      <c r="P23" s="208"/>
      <c r="Q23" s="208"/>
      <c r="R23" s="208"/>
      <c r="S23" s="208"/>
      <c r="T23" s="208"/>
      <c r="U23" s="208"/>
      <c r="V23" s="208"/>
      <c r="W23" s="208"/>
      <c r="X23" s="208"/>
    </row>
    <row r="24" spans="2:24">
      <c r="B24" s="245"/>
      <c r="C24" s="245"/>
      <c r="D24" s="245"/>
      <c r="E24" s="245"/>
      <c r="F24" s="245"/>
      <c r="G24" s="245"/>
      <c r="H24" s="245"/>
      <c r="I24" s="245"/>
      <c r="J24" s="245"/>
      <c r="K24" s="245"/>
      <c r="L24" s="245"/>
      <c r="M24" s="245"/>
      <c r="O24" s="208"/>
      <c r="P24" s="208"/>
      <c r="Q24" s="208"/>
      <c r="R24" s="208"/>
      <c r="S24" s="208"/>
      <c r="T24" s="208"/>
      <c r="U24" s="208"/>
      <c r="V24" s="208"/>
      <c r="W24" s="208"/>
      <c r="X24" s="208"/>
    </row>
    <row r="25" spans="2:24">
      <c r="B25" s="245"/>
      <c r="C25" s="245"/>
      <c r="D25" s="245"/>
      <c r="E25" s="245"/>
      <c r="F25" s="245"/>
      <c r="G25" s="245"/>
      <c r="H25" s="245"/>
      <c r="I25" s="245"/>
      <c r="J25" s="245"/>
      <c r="K25" s="245"/>
      <c r="L25" s="245"/>
      <c r="M25" s="245"/>
      <c r="O25" s="208"/>
      <c r="P25" s="208"/>
      <c r="Q25" s="208"/>
      <c r="R25" s="208"/>
      <c r="S25" s="208"/>
      <c r="T25" s="208"/>
      <c r="U25" s="208"/>
      <c r="V25" s="208"/>
      <c r="W25" s="208"/>
      <c r="X25" s="208"/>
    </row>
    <row r="26" spans="2:24">
      <c r="B26" s="245"/>
      <c r="C26" s="245"/>
      <c r="D26" s="245"/>
      <c r="E26" s="245"/>
      <c r="F26" s="245"/>
      <c r="G26" s="245"/>
      <c r="H26" s="245"/>
      <c r="I26" s="245"/>
      <c r="J26" s="245"/>
      <c r="K26" s="245"/>
      <c r="L26" s="245"/>
      <c r="M26" s="245"/>
      <c r="O26" s="208"/>
      <c r="P26" s="208"/>
      <c r="Q26" s="208"/>
      <c r="R26" s="208"/>
      <c r="S26" s="208"/>
      <c r="T26" s="208"/>
      <c r="U26" s="208"/>
      <c r="V26" s="208"/>
      <c r="W26" s="208"/>
      <c r="X26" s="208"/>
    </row>
    <row r="27" spans="2:24">
      <c r="B27" s="245"/>
      <c r="C27" s="245"/>
      <c r="D27" s="245"/>
      <c r="E27" s="245"/>
      <c r="F27" s="245"/>
      <c r="G27" s="245"/>
      <c r="H27" s="245"/>
      <c r="I27" s="245"/>
      <c r="J27" s="245"/>
      <c r="K27" s="245"/>
      <c r="L27" s="245"/>
      <c r="M27" s="245"/>
      <c r="O27" s="208"/>
      <c r="P27" s="208"/>
      <c r="Q27" s="208"/>
      <c r="R27" s="208"/>
      <c r="S27" s="208"/>
      <c r="T27" s="208"/>
      <c r="U27" s="208"/>
      <c r="V27" s="208"/>
      <c r="W27" s="208"/>
      <c r="X27" s="208"/>
    </row>
    <row r="28" spans="2:24">
      <c r="B28" s="245"/>
      <c r="C28" s="245"/>
      <c r="D28" s="245"/>
      <c r="E28" s="245"/>
      <c r="F28" s="245"/>
      <c r="G28" s="245"/>
      <c r="H28" s="245"/>
      <c r="I28" s="245"/>
      <c r="J28" s="245"/>
      <c r="K28" s="245"/>
      <c r="L28" s="245"/>
      <c r="M28" s="245"/>
      <c r="O28" s="208"/>
      <c r="P28" s="208"/>
      <c r="Q28" s="208"/>
      <c r="R28" s="208"/>
      <c r="S28" s="208"/>
      <c r="T28" s="208"/>
      <c r="U28" s="208"/>
      <c r="V28" s="208"/>
      <c r="W28" s="208"/>
      <c r="X28" s="208"/>
    </row>
    <row r="29" spans="2:24">
      <c r="B29" s="245"/>
      <c r="C29" s="245"/>
      <c r="D29" s="245"/>
      <c r="E29" s="245"/>
      <c r="F29" s="245"/>
      <c r="G29" s="245"/>
      <c r="H29" s="245"/>
      <c r="I29" s="245"/>
      <c r="J29" s="245"/>
      <c r="K29" s="245"/>
      <c r="L29" s="245"/>
      <c r="M29" s="245"/>
      <c r="O29" s="208"/>
      <c r="P29" s="208"/>
      <c r="Q29" s="208"/>
      <c r="R29" s="208"/>
      <c r="S29" s="208"/>
      <c r="T29" s="208"/>
      <c r="U29" s="208"/>
      <c r="V29" s="208"/>
      <c r="W29" s="208"/>
      <c r="X29" s="208"/>
    </row>
    <row r="30" spans="2:24">
      <c r="B30" s="245"/>
      <c r="C30" s="245"/>
      <c r="D30" s="245"/>
      <c r="E30" s="245"/>
      <c r="F30" s="245"/>
      <c r="G30" s="245"/>
      <c r="H30" s="245"/>
      <c r="I30" s="245"/>
      <c r="J30" s="245"/>
      <c r="K30" s="245"/>
      <c r="L30" s="245"/>
      <c r="M30" s="245"/>
      <c r="O30" s="208"/>
      <c r="P30" s="208"/>
      <c r="Q30" s="208"/>
      <c r="R30" s="208"/>
      <c r="S30" s="208"/>
      <c r="T30" s="208"/>
      <c r="U30" s="208"/>
      <c r="V30" s="208"/>
      <c r="W30" s="208"/>
      <c r="X30" s="208"/>
    </row>
    <row r="31" spans="2:24">
      <c r="B31" s="245"/>
      <c r="C31" s="245"/>
      <c r="D31" s="245"/>
      <c r="E31" s="245"/>
      <c r="F31" s="245"/>
      <c r="G31" s="245"/>
      <c r="H31" s="245"/>
      <c r="I31" s="245"/>
      <c r="J31" s="245"/>
      <c r="K31" s="245"/>
      <c r="L31" s="245"/>
      <c r="M31" s="245"/>
      <c r="O31" s="208"/>
      <c r="P31" s="208"/>
      <c r="Q31" s="208"/>
      <c r="R31" s="208"/>
      <c r="S31" s="208"/>
      <c r="T31" s="208"/>
      <c r="U31" s="208"/>
      <c r="V31" s="208"/>
      <c r="W31" s="208"/>
      <c r="X31" s="208"/>
    </row>
    <row r="32" spans="2:24">
      <c r="B32" s="245"/>
      <c r="C32" s="245"/>
      <c r="D32" s="245"/>
      <c r="E32" s="245"/>
      <c r="F32" s="245"/>
      <c r="G32" s="245"/>
      <c r="H32" s="245"/>
      <c r="I32" s="245"/>
      <c r="J32" s="245"/>
      <c r="K32" s="245"/>
      <c r="L32" s="245"/>
      <c r="M32" s="245"/>
      <c r="O32" s="208"/>
      <c r="P32" s="208"/>
      <c r="Q32" s="208"/>
      <c r="R32" s="208"/>
      <c r="S32" s="208"/>
      <c r="T32" s="208"/>
      <c r="U32" s="208"/>
      <c r="V32" s="208"/>
      <c r="W32" s="208"/>
      <c r="X32" s="208"/>
    </row>
    <row r="33" spans="2:24">
      <c r="B33" s="245"/>
      <c r="C33" s="245"/>
      <c r="D33" s="245"/>
      <c r="E33" s="245"/>
      <c r="F33" s="245"/>
      <c r="G33" s="245"/>
      <c r="H33" s="245"/>
      <c r="I33" s="245"/>
      <c r="J33" s="245"/>
      <c r="K33" s="245"/>
      <c r="L33" s="245"/>
      <c r="M33" s="245"/>
      <c r="O33" s="208"/>
      <c r="P33" s="208"/>
      <c r="Q33" s="208"/>
      <c r="R33" s="208"/>
      <c r="S33" s="208"/>
      <c r="T33" s="208"/>
      <c r="U33" s="208"/>
      <c r="V33" s="208"/>
      <c r="W33" s="208"/>
      <c r="X33" s="208"/>
    </row>
    <row r="34" spans="2:24">
      <c r="B34" s="245"/>
      <c r="C34" s="245"/>
      <c r="D34" s="245"/>
      <c r="E34" s="245"/>
      <c r="F34" s="245"/>
      <c r="G34" s="245"/>
      <c r="H34" s="245"/>
      <c r="I34" s="245"/>
      <c r="J34" s="245"/>
      <c r="K34" s="245"/>
      <c r="L34" s="245"/>
      <c r="M34" s="245"/>
      <c r="O34" s="208"/>
      <c r="P34" s="208"/>
      <c r="Q34" s="208"/>
      <c r="R34" s="208"/>
      <c r="S34" s="208"/>
      <c r="T34" s="208"/>
      <c r="U34" s="208"/>
      <c r="V34" s="208"/>
      <c r="W34" s="208"/>
      <c r="X34" s="208"/>
    </row>
    <row r="35" spans="2:24">
      <c r="B35" s="245"/>
      <c r="C35" s="245"/>
      <c r="D35" s="245"/>
      <c r="E35" s="245"/>
      <c r="F35" s="245"/>
      <c r="G35" s="245"/>
      <c r="H35" s="245"/>
      <c r="I35" s="245"/>
      <c r="J35" s="245"/>
      <c r="K35" s="245"/>
      <c r="L35" s="245"/>
      <c r="M35" s="245"/>
      <c r="O35" s="208"/>
      <c r="P35" s="208"/>
      <c r="Q35" s="208"/>
      <c r="R35" s="208"/>
      <c r="S35" s="208"/>
      <c r="T35" s="208"/>
      <c r="U35" s="208"/>
      <c r="V35" s="208"/>
      <c r="W35" s="208"/>
      <c r="X35" s="208"/>
    </row>
    <row r="36" spans="2:24">
      <c r="B36" s="245"/>
      <c r="C36" s="245"/>
      <c r="D36" s="245"/>
      <c r="E36" s="245"/>
      <c r="F36" s="245"/>
      <c r="G36" s="245"/>
      <c r="H36" s="245"/>
      <c r="I36" s="245"/>
      <c r="J36" s="245"/>
      <c r="K36" s="245"/>
      <c r="L36" s="245"/>
      <c r="M36" s="245"/>
      <c r="O36" s="208"/>
      <c r="P36" s="208"/>
      <c r="Q36" s="208"/>
      <c r="R36" s="208"/>
      <c r="S36" s="208"/>
      <c r="T36" s="208"/>
      <c r="U36" s="208"/>
      <c r="V36" s="208"/>
      <c r="W36" s="208"/>
      <c r="X36" s="208"/>
    </row>
    <row r="37" spans="2:24">
      <c r="B37" s="245"/>
      <c r="C37" s="245"/>
      <c r="D37" s="245"/>
      <c r="E37" s="245"/>
      <c r="F37" s="245"/>
      <c r="G37" s="245"/>
      <c r="H37" s="245"/>
      <c r="I37" s="245"/>
      <c r="J37" s="245"/>
      <c r="K37" s="245"/>
      <c r="L37" s="245"/>
      <c r="M37" s="245"/>
      <c r="O37" s="208"/>
      <c r="P37" s="208"/>
      <c r="Q37" s="208"/>
      <c r="R37" s="208"/>
      <c r="S37" s="208"/>
      <c r="T37" s="208"/>
      <c r="U37" s="208"/>
      <c r="V37" s="208"/>
      <c r="W37" s="208"/>
      <c r="X37" s="208"/>
    </row>
    <row r="38" spans="2:24">
      <c r="B38" s="245"/>
      <c r="C38" s="245"/>
      <c r="D38" s="245"/>
      <c r="E38" s="245"/>
      <c r="F38" s="245"/>
      <c r="G38" s="245"/>
      <c r="H38" s="245"/>
      <c r="I38" s="245"/>
      <c r="J38" s="245"/>
      <c r="K38" s="245"/>
      <c r="L38" s="245"/>
      <c r="M38" s="245"/>
      <c r="O38" s="208"/>
      <c r="P38" s="208"/>
      <c r="Q38" s="208"/>
      <c r="R38" s="208"/>
      <c r="S38" s="208"/>
      <c r="T38" s="208"/>
      <c r="U38" s="208"/>
      <c r="V38" s="208"/>
      <c r="W38" s="208"/>
      <c r="X38" s="208"/>
    </row>
    <row r="39" spans="2:24">
      <c r="B39" s="245"/>
      <c r="C39" s="245"/>
      <c r="D39" s="245"/>
      <c r="E39" s="245"/>
      <c r="F39" s="245"/>
      <c r="G39" s="245"/>
      <c r="H39" s="245"/>
      <c r="I39" s="245"/>
      <c r="J39" s="245"/>
      <c r="K39" s="245"/>
      <c r="L39" s="245"/>
      <c r="M39" s="245"/>
      <c r="O39" s="208"/>
      <c r="P39" s="208"/>
      <c r="Q39" s="208"/>
      <c r="R39" s="208"/>
      <c r="S39" s="208"/>
      <c r="T39" s="208"/>
      <c r="U39" s="208"/>
      <c r="V39" s="208"/>
      <c r="W39" s="208"/>
      <c r="X39" s="208"/>
    </row>
    <row r="40" spans="2:24" ht="13" customHeight="1">
      <c r="B40" s="245"/>
      <c r="C40" s="245"/>
      <c r="D40" s="245"/>
      <c r="E40" s="245"/>
      <c r="F40" s="245"/>
      <c r="G40" s="245"/>
      <c r="H40" s="245"/>
      <c r="I40" s="245"/>
      <c r="J40" s="245"/>
      <c r="K40" s="245"/>
      <c r="L40" s="245"/>
      <c r="M40" s="245"/>
      <c r="O40" s="208"/>
      <c r="P40" s="208"/>
      <c r="Q40" s="208"/>
      <c r="R40" s="208"/>
      <c r="S40" s="208"/>
      <c r="T40" s="208"/>
      <c r="U40" s="208"/>
      <c r="V40" s="208"/>
      <c r="W40" s="208"/>
      <c r="X40" s="208"/>
    </row>
    <row r="41" spans="2:24">
      <c r="B41" s="245"/>
      <c r="C41" s="245"/>
      <c r="D41" s="245"/>
      <c r="E41" s="245"/>
      <c r="F41" s="245"/>
      <c r="G41" s="245"/>
      <c r="H41" s="245"/>
      <c r="I41" s="245"/>
      <c r="J41" s="245"/>
      <c r="K41" s="245"/>
      <c r="L41" s="245"/>
      <c r="M41" s="245"/>
      <c r="O41" s="208"/>
      <c r="P41" s="208"/>
      <c r="Q41" s="208"/>
      <c r="R41" s="208"/>
      <c r="S41" s="208"/>
      <c r="T41" s="208"/>
      <c r="U41" s="208"/>
      <c r="V41" s="208"/>
      <c r="W41" s="208"/>
      <c r="X41" s="208"/>
    </row>
    <row r="42" spans="2:24">
      <c r="B42" s="245"/>
      <c r="C42" s="245"/>
      <c r="D42" s="245"/>
      <c r="E42" s="245"/>
      <c r="F42" s="245"/>
      <c r="G42" s="245"/>
      <c r="H42" s="245"/>
      <c r="I42" s="245"/>
      <c r="J42" s="245"/>
      <c r="K42" s="245"/>
      <c r="L42" s="245"/>
      <c r="M42" s="245"/>
      <c r="O42" s="208"/>
      <c r="P42" s="208"/>
      <c r="Q42" s="208"/>
      <c r="R42" s="208"/>
      <c r="S42" s="208"/>
      <c r="T42" s="208"/>
      <c r="U42" s="208"/>
      <c r="V42" s="208"/>
      <c r="W42" s="208"/>
      <c r="X42" s="208"/>
    </row>
    <row r="43" spans="2:24">
      <c r="B43" s="245"/>
      <c r="C43" s="245"/>
      <c r="D43" s="245"/>
      <c r="E43" s="245"/>
      <c r="F43" s="245"/>
      <c r="G43" s="245"/>
      <c r="H43" s="245"/>
      <c r="I43" s="245"/>
      <c r="J43" s="245"/>
      <c r="K43" s="245"/>
      <c r="L43" s="245"/>
      <c r="M43" s="245"/>
    </row>
    <row r="44" spans="2:24">
      <c r="B44" s="245"/>
      <c r="C44" s="245"/>
      <c r="D44" s="245"/>
      <c r="E44" s="245"/>
      <c r="F44" s="245"/>
      <c r="G44" s="245"/>
      <c r="H44" s="245"/>
      <c r="I44" s="245"/>
      <c r="J44" s="245"/>
      <c r="K44" s="245"/>
      <c r="L44" s="245"/>
      <c r="M44" s="245"/>
    </row>
    <row r="45" spans="2:24" ht="13" customHeight="1">
      <c r="B45" s="245"/>
      <c r="C45" s="245"/>
      <c r="D45" s="245"/>
      <c r="E45" s="245"/>
      <c r="F45" s="245"/>
      <c r="G45" s="245"/>
      <c r="H45" s="245"/>
      <c r="I45" s="245"/>
      <c r="J45" s="245"/>
      <c r="K45" s="245"/>
      <c r="L45" s="245"/>
      <c r="M45" s="245"/>
    </row>
    <row r="46" spans="2:24" ht="13" customHeight="1">
      <c r="B46" s="245"/>
      <c r="C46" s="245"/>
      <c r="D46" s="245"/>
      <c r="E46" s="245"/>
      <c r="F46" s="245"/>
      <c r="G46" s="245"/>
      <c r="H46" s="245"/>
      <c r="I46" s="245"/>
      <c r="J46" s="245"/>
      <c r="K46" s="245"/>
      <c r="L46" s="245"/>
      <c r="M46" s="245"/>
    </row>
    <row r="47" spans="2:24" ht="13">
      <c r="B47" s="7"/>
    </row>
    <row r="48" spans="2:24" ht="13">
      <c r="B48" s="7"/>
    </row>
    <row r="49" spans="2:3" ht="13">
      <c r="B49" s="7"/>
    </row>
    <row r="50" spans="2:3" ht="13">
      <c r="B50" s="7"/>
    </row>
    <row r="51" spans="2:3" ht="13">
      <c r="B51" s="7"/>
    </row>
    <row r="52" spans="2:3" ht="13">
      <c r="B52" s="7"/>
    </row>
    <row r="53" spans="2:3" ht="13">
      <c r="B53" s="7"/>
    </row>
    <row r="54" spans="2:3" ht="13">
      <c r="B54" s="7"/>
    </row>
    <row r="55" spans="2:3" ht="13">
      <c r="B55" s="7"/>
    </row>
    <row r="56" spans="2:3" ht="13">
      <c r="B56" s="7"/>
    </row>
    <row r="57" spans="2:3" ht="13">
      <c r="B57" s="7"/>
    </row>
    <row r="58" spans="2:3" ht="13">
      <c r="C58" s="7"/>
    </row>
    <row r="59" spans="2:3" ht="13">
      <c r="C59" s="7"/>
    </row>
    <row r="60" spans="2:3" ht="13">
      <c r="C60" s="7"/>
    </row>
    <row r="61" spans="2:3" ht="13">
      <c r="C61" s="7"/>
    </row>
    <row r="62" spans="2:3" ht="13">
      <c r="C62" s="7"/>
    </row>
    <row r="63" spans="2:3" ht="13">
      <c r="B63" s="9"/>
      <c r="C63" s="7"/>
    </row>
    <row r="64" spans="2:3" ht="13">
      <c r="B64" s="9"/>
      <c r="C64" s="7"/>
    </row>
    <row r="65" spans="2:2" ht="13">
      <c r="B65" s="7"/>
    </row>
    <row r="66" spans="2:2" ht="13">
      <c r="B66" s="7"/>
    </row>
    <row r="67" spans="2:2" ht="13">
      <c r="B67" s="7"/>
    </row>
    <row r="68" spans="2:2" ht="13">
      <c r="B68" s="7"/>
    </row>
    <row r="69" spans="2:2" ht="13">
      <c r="B69" s="7"/>
    </row>
    <row r="70" spans="2:2" ht="13">
      <c r="B70" s="7"/>
    </row>
    <row r="71" spans="2:2" ht="13">
      <c r="B71" s="7"/>
    </row>
  </sheetData>
  <sheetProtection sheet="1" selectLockedCells="1" selectUnlockedCells="1"/>
  <mergeCells count="3">
    <mergeCell ref="O18:P18"/>
    <mergeCell ref="B18:M46"/>
    <mergeCell ref="B2:M15"/>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6B7A8"/>
  </sheetPr>
  <dimension ref="A1:N46"/>
  <sheetViews>
    <sheetView showGridLines="0" zoomScaleNormal="100" workbookViewId="0">
      <pane ySplit="5" topLeftCell="A6" activePane="bottomLeft" state="frozen"/>
      <selection activeCell="H20" sqref="H20"/>
      <selection pane="bottomLeft" activeCell="F41" sqref="F41"/>
    </sheetView>
  </sheetViews>
  <sheetFormatPr defaultColWidth="8.81640625" defaultRowHeight="11.5"/>
  <cols>
    <col min="1" max="1" width="6.6328125" style="19" customWidth="1"/>
    <col min="2" max="2" width="47.453125" style="3" customWidth="1"/>
    <col min="3" max="3" width="2.6328125" style="3" customWidth="1"/>
    <col min="4" max="4" width="8.1796875" style="3" customWidth="1"/>
    <col min="5" max="5" width="2.6328125" style="3" customWidth="1"/>
    <col min="6" max="6" width="12.81640625" style="3" customWidth="1"/>
    <col min="7" max="7" width="8.81640625" style="19"/>
    <col min="8" max="8" width="1.6328125" style="19" customWidth="1"/>
    <col min="9" max="9" width="8.81640625" style="19"/>
    <col min="10" max="10" width="2.6328125" style="19" customWidth="1"/>
    <col min="11" max="11" width="41.81640625" style="19" customWidth="1"/>
    <col min="12" max="12" width="10.1796875" style="19" customWidth="1"/>
    <col min="13" max="13" width="10.453125" style="19" bestFit="1" customWidth="1"/>
    <col min="14" max="16384" width="8.81640625" style="19"/>
  </cols>
  <sheetData>
    <row r="1" spans="1:14">
      <c r="B1" s="19"/>
      <c r="C1" s="19"/>
      <c r="D1" s="19"/>
      <c r="E1" s="19"/>
      <c r="F1" s="19"/>
    </row>
    <row r="2" spans="1:14">
      <c r="B2" s="19"/>
      <c r="C2" s="19"/>
      <c r="D2" s="19"/>
      <c r="E2" s="19"/>
      <c r="F2" s="19"/>
    </row>
    <row r="3" spans="1:14" ht="15">
      <c r="B3" s="19"/>
      <c r="C3" s="19"/>
      <c r="E3" s="19"/>
      <c r="F3" s="220" t="s">
        <v>88</v>
      </c>
    </row>
    <row r="4" spans="1:14">
      <c r="B4" s="19"/>
      <c r="C4" s="19"/>
      <c r="D4" s="19"/>
      <c r="E4" s="19"/>
      <c r="F4" s="19"/>
    </row>
    <row r="5" spans="1:14">
      <c r="B5" s="19"/>
      <c r="C5" s="19"/>
      <c r="D5" s="19"/>
      <c r="E5" s="19"/>
      <c r="F5" s="19"/>
    </row>
    <row r="6" spans="1:14">
      <c r="B6" s="19"/>
      <c r="C6" s="19"/>
      <c r="D6" s="19"/>
      <c r="E6" s="19"/>
      <c r="F6" s="19"/>
    </row>
    <row r="7" spans="1:14">
      <c r="B7" s="19"/>
      <c r="C7" s="19"/>
      <c r="D7" s="19"/>
      <c r="E7" s="19"/>
      <c r="F7" s="19"/>
      <c r="I7" s="24"/>
    </row>
    <row r="8" spans="1:14" s="3" customFormat="1" ht="14">
      <c r="A8" s="51"/>
      <c r="B8" s="247" t="s">
        <v>81</v>
      </c>
      <c r="C8" s="248"/>
      <c r="D8" s="248"/>
      <c r="E8" s="248"/>
      <c r="F8" s="249"/>
      <c r="G8" s="19"/>
      <c r="H8" s="19"/>
      <c r="I8" s="79" t="s">
        <v>103</v>
      </c>
      <c r="J8" s="19"/>
      <c r="K8" s="247" t="s">
        <v>72</v>
      </c>
      <c r="L8" s="248"/>
      <c r="M8" s="248"/>
    </row>
    <row r="9" spans="1:14" s="3" customFormat="1" ht="14.5">
      <c r="A9" s="51"/>
      <c r="B9" s="10"/>
      <c r="C9" s="10"/>
      <c r="D9" s="11"/>
      <c r="E9" s="11"/>
      <c r="F9" s="11"/>
      <c r="G9" s="19"/>
      <c r="H9" s="19"/>
      <c r="I9" s="159"/>
      <c r="J9" s="19"/>
      <c r="K9" s="11"/>
      <c r="L9" s="11"/>
      <c r="M9" s="11"/>
    </row>
    <row r="10" spans="1:14" s="3" customFormat="1" ht="14.5">
      <c r="A10" s="251"/>
      <c r="B10" s="174" t="s">
        <v>75</v>
      </c>
      <c r="C10" s="12"/>
      <c r="D10" s="174" t="s">
        <v>0</v>
      </c>
      <c r="E10" s="13"/>
      <c r="F10" s="174" t="s">
        <v>80</v>
      </c>
      <c r="G10" s="19"/>
      <c r="H10" s="19"/>
      <c r="I10" s="24"/>
      <c r="J10" s="19"/>
      <c r="K10" s="15" t="s">
        <v>35</v>
      </c>
      <c r="L10" s="17" t="s">
        <v>15</v>
      </c>
      <c r="M10" s="169">
        <f>Capex_perkW*System_size</f>
        <v>33500000</v>
      </c>
    </row>
    <row r="11" spans="1:14" s="3" customFormat="1" ht="14.5">
      <c r="A11" s="19"/>
      <c r="B11" s="13"/>
      <c r="C11" s="12"/>
      <c r="D11" s="13"/>
      <c r="E11" s="13"/>
      <c r="F11" s="13"/>
      <c r="G11" s="19"/>
      <c r="H11" s="19"/>
      <c r="I11" s="24"/>
      <c r="J11" s="19"/>
      <c r="K11" s="15" t="s">
        <v>36</v>
      </c>
      <c r="L11" s="17" t="s">
        <v>15</v>
      </c>
      <c r="M11" s="169">
        <f>(Capex_perkW-Capitalsubsidy_perkW)*System_size</f>
        <v>33500000</v>
      </c>
      <c r="N11" s="4"/>
    </row>
    <row r="12" spans="1:14" s="3" customFormat="1" ht="14.5">
      <c r="A12" s="19"/>
      <c r="B12" s="175" t="s">
        <v>82</v>
      </c>
      <c r="C12" s="14"/>
      <c r="D12" s="14"/>
      <c r="E12" s="14"/>
      <c r="F12" s="14"/>
      <c r="G12" s="19"/>
      <c r="H12" s="19"/>
      <c r="I12" s="24"/>
      <c r="J12" s="19"/>
      <c r="K12" s="15" t="s">
        <v>1</v>
      </c>
      <c r="L12" s="17" t="s">
        <v>15</v>
      </c>
      <c r="M12" s="170">
        <f>Net_capex*Equity_percentage</f>
        <v>10050000</v>
      </c>
      <c r="N12" s="5"/>
    </row>
    <row r="13" spans="1:14" s="3" customFormat="1" ht="13">
      <c r="A13" s="19"/>
      <c r="B13" s="15" t="s">
        <v>48</v>
      </c>
      <c r="C13" s="15"/>
      <c r="D13" s="16" t="s">
        <v>15</v>
      </c>
      <c r="E13" s="16"/>
      <c r="F13" s="182">
        <v>33500</v>
      </c>
      <c r="G13" s="19"/>
      <c r="H13" s="19"/>
      <c r="I13" s="24"/>
      <c r="J13" s="19"/>
      <c r="K13" s="15" t="s">
        <v>2</v>
      </c>
      <c r="L13" s="17" t="s">
        <v>15</v>
      </c>
      <c r="M13" s="169">
        <f>Net_capex-Equity</f>
        <v>23450000</v>
      </c>
      <c r="N13" s="5"/>
    </row>
    <row r="14" spans="1:14" s="3" customFormat="1" ht="13">
      <c r="A14" s="19"/>
      <c r="B14" s="15" t="s">
        <v>52</v>
      </c>
      <c r="C14" s="15"/>
      <c r="D14" s="16" t="s">
        <v>15</v>
      </c>
      <c r="E14" s="16"/>
      <c r="F14" s="183">
        <v>0</v>
      </c>
      <c r="G14" s="19"/>
      <c r="H14" s="19"/>
      <c r="I14" s="24"/>
      <c r="J14" s="19"/>
      <c r="K14" s="15" t="s">
        <v>184</v>
      </c>
      <c r="L14" s="17" t="s">
        <v>15</v>
      </c>
      <c r="M14" s="170">
        <f>Gross_capex*Depreciationrate_n1years*Depreciation_on_capexpercentage</f>
        <v>1145700</v>
      </c>
      <c r="N14" s="5"/>
    </row>
    <row r="15" spans="1:14" s="3" customFormat="1" ht="13">
      <c r="A15" s="252"/>
      <c r="B15" s="15" t="s">
        <v>211</v>
      </c>
      <c r="C15" s="15"/>
      <c r="D15" s="17" t="s">
        <v>28</v>
      </c>
      <c r="E15" s="17"/>
      <c r="F15" s="194">
        <v>1000</v>
      </c>
      <c r="G15" s="19"/>
      <c r="H15" s="19"/>
      <c r="I15" s="19"/>
      <c r="J15" s="19"/>
      <c r="K15" s="15" t="s">
        <v>182</v>
      </c>
      <c r="L15" s="17" t="s">
        <v>15</v>
      </c>
      <c r="M15" s="195">
        <f>IF(n1_years&lt;Plant_life,(Gross_capex*Depreciation_on_capexpercentage-Annual_depreciation_n1yearsgross*n1_years)/(Plant_life-n1_years),0)</f>
        <v>0</v>
      </c>
      <c r="N15" s="5"/>
    </row>
    <row r="16" spans="1:14" s="3" customFormat="1" ht="13">
      <c r="A16" s="253"/>
      <c r="B16" s="15" t="s">
        <v>51</v>
      </c>
      <c r="C16" s="15"/>
      <c r="D16" s="17" t="s">
        <v>11</v>
      </c>
      <c r="E16" s="17"/>
      <c r="F16" s="191">
        <v>25</v>
      </c>
      <c r="G16" s="19"/>
      <c r="H16" s="19"/>
      <c r="I16" s="19"/>
      <c r="J16" s="19"/>
      <c r="K16" s="15" t="s">
        <v>185</v>
      </c>
      <c r="L16" s="17" t="s">
        <v>15</v>
      </c>
      <c r="M16" s="170">
        <f>Net_capex*Depreciationrate_n1years*Depreciation_on_capexpercentage</f>
        <v>1145700</v>
      </c>
      <c r="N16" s="5"/>
    </row>
    <row r="17" spans="2:13" ht="13">
      <c r="B17" s="15" t="s">
        <v>53</v>
      </c>
      <c r="C17" s="15"/>
      <c r="D17" s="17" t="s">
        <v>14</v>
      </c>
      <c r="E17" s="17"/>
      <c r="F17" s="184">
        <v>0.19</v>
      </c>
      <c r="K17" s="15" t="s">
        <v>183</v>
      </c>
      <c r="L17" s="17" t="s">
        <v>15</v>
      </c>
      <c r="M17" s="195">
        <f>IF(n1_years&lt;Plant_life,(Net_capex*Depreciation_on_capexpercentage-Annual_depreciation_n1yearsnet*n1_years)/(Plant_life-n1_years),0)</f>
        <v>0</v>
      </c>
    </row>
    <row r="18" spans="2:13" ht="13">
      <c r="B18" s="15" t="s">
        <v>198</v>
      </c>
      <c r="C18" s="15"/>
      <c r="D18" s="17" t="s">
        <v>14</v>
      </c>
      <c r="E18" s="17"/>
      <c r="F18" s="179">
        <v>0</v>
      </c>
      <c r="K18" s="196"/>
      <c r="L18" s="17"/>
      <c r="M18" s="197"/>
    </row>
    <row r="19" spans="2:13" ht="13">
      <c r="B19" s="15" t="s">
        <v>18</v>
      </c>
      <c r="C19" s="15"/>
      <c r="D19" s="17" t="s">
        <v>14</v>
      </c>
      <c r="E19" s="17"/>
      <c r="F19" s="177">
        <v>0.95</v>
      </c>
      <c r="I19" s="23"/>
      <c r="J19" s="23"/>
      <c r="K19" s="163"/>
    </row>
    <row r="20" spans="2:13" ht="13">
      <c r="B20" s="15" t="s">
        <v>10</v>
      </c>
      <c r="C20" s="15"/>
      <c r="D20" s="17" t="s">
        <v>14</v>
      </c>
      <c r="E20" s="17"/>
      <c r="F20" s="177">
        <v>9.5299999999999996E-2</v>
      </c>
      <c r="K20" s="164"/>
    </row>
    <row r="21" spans="2:13" ht="13">
      <c r="B21" s="15" t="s">
        <v>1</v>
      </c>
      <c r="C21" s="15"/>
      <c r="D21" s="17" t="s">
        <v>14</v>
      </c>
      <c r="E21" s="17"/>
      <c r="F21" s="177">
        <v>0.3</v>
      </c>
      <c r="I21" s="160"/>
      <c r="J21" s="160"/>
      <c r="K21" s="160"/>
    </row>
    <row r="22" spans="2:13" ht="13">
      <c r="B22" s="15" t="s">
        <v>186</v>
      </c>
      <c r="C22" s="15"/>
      <c r="D22" s="17" t="s">
        <v>14</v>
      </c>
      <c r="E22" s="17"/>
      <c r="F22" s="177">
        <v>0.17599999999999999</v>
      </c>
    </row>
    <row r="23" spans="2:13" ht="13">
      <c r="B23" s="15" t="s">
        <v>23</v>
      </c>
      <c r="C23" s="15"/>
      <c r="D23" s="17" t="s">
        <v>11</v>
      </c>
      <c r="E23" s="17"/>
      <c r="F23" s="191">
        <v>10</v>
      </c>
    </row>
    <row r="24" spans="2:13" ht="13">
      <c r="B24" s="15" t="s">
        <v>26</v>
      </c>
      <c r="C24" s="15"/>
      <c r="D24" s="17" t="s">
        <v>11</v>
      </c>
      <c r="E24" s="17"/>
      <c r="F24" s="192">
        <v>1</v>
      </c>
    </row>
    <row r="25" spans="2:13" ht="13">
      <c r="B25" s="15" t="s">
        <v>21</v>
      </c>
      <c r="C25" s="15"/>
      <c r="D25" s="17" t="s">
        <v>14</v>
      </c>
      <c r="E25" s="17"/>
      <c r="F25" s="177">
        <v>0.1055</v>
      </c>
    </row>
    <row r="26" spans="2:13" ht="13">
      <c r="B26" s="15" t="s">
        <v>22</v>
      </c>
      <c r="C26" s="15"/>
      <c r="D26" s="17" t="s">
        <v>14</v>
      </c>
      <c r="E26" s="17"/>
      <c r="F26" s="179">
        <v>1.4E-2</v>
      </c>
      <c r="I26" s="161"/>
      <c r="J26" s="161"/>
      <c r="K26" s="161"/>
    </row>
    <row r="27" spans="2:13" ht="13">
      <c r="B27" s="15" t="s">
        <v>197</v>
      </c>
      <c r="C27" s="15"/>
      <c r="D27" s="17" t="s">
        <v>14</v>
      </c>
      <c r="E27" s="17"/>
      <c r="F27" s="179">
        <v>5.7200000000000001E-2</v>
      </c>
      <c r="I27" s="161"/>
      <c r="J27" s="161"/>
      <c r="K27" s="161"/>
    </row>
    <row r="28" spans="2:13" ht="13">
      <c r="B28" s="15" t="s">
        <v>62</v>
      </c>
      <c r="C28" s="15"/>
      <c r="D28" s="17" t="s">
        <v>14</v>
      </c>
      <c r="E28" s="17"/>
      <c r="F28" s="179">
        <v>3.5000000000000001E-3</v>
      </c>
      <c r="I28" s="161"/>
      <c r="J28" s="161"/>
      <c r="K28" s="161"/>
    </row>
    <row r="29" spans="2:13" ht="13">
      <c r="B29" s="15" t="s">
        <v>195</v>
      </c>
      <c r="C29" s="15"/>
      <c r="D29" s="17" t="s">
        <v>7</v>
      </c>
      <c r="E29" s="17"/>
      <c r="F29" s="180">
        <v>1</v>
      </c>
      <c r="I29" s="161"/>
      <c r="J29" s="161"/>
      <c r="K29" s="161"/>
    </row>
    <row r="30" spans="2:13" ht="13">
      <c r="B30" s="15" t="s">
        <v>194</v>
      </c>
      <c r="C30" s="15"/>
      <c r="D30" s="17" t="s">
        <v>7</v>
      </c>
      <c r="E30" s="17"/>
      <c r="F30" s="180">
        <v>2</v>
      </c>
      <c r="I30" s="161"/>
      <c r="J30" s="161"/>
      <c r="K30" s="161"/>
    </row>
    <row r="31" spans="2:13" ht="13">
      <c r="B31" s="15" t="s">
        <v>193</v>
      </c>
      <c r="C31" s="15"/>
      <c r="D31" s="17" t="s">
        <v>14</v>
      </c>
      <c r="E31" s="17"/>
      <c r="F31" s="193" t="s">
        <v>206</v>
      </c>
      <c r="I31" s="162"/>
      <c r="J31" s="162"/>
      <c r="K31" s="162"/>
    </row>
    <row r="32" spans="2:13" ht="13">
      <c r="B32" s="15" t="s">
        <v>188</v>
      </c>
      <c r="C32" s="15"/>
      <c r="D32" s="17" t="s">
        <v>14</v>
      </c>
      <c r="E32" s="17"/>
      <c r="F32" s="177">
        <v>0.11550000000000001</v>
      </c>
      <c r="I32" s="162"/>
      <c r="J32" s="162"/>
      <c r="K32" s="162"/>
    </row>
    <row r="33" spans="2:10" ht="13">
      <c r="B33" s="15" t="s">
        <v>78</v>
      </c>
      <c r="C33" s="15"/>
      <c r="D33" s="17" t="s">
        <v>11</v>
      </c>
      <c r="E33" s="17"/>
      <c r="F33" s="191">
        <v>25</v>
      </c>
      <c r="I33" s="63"/>
      <c r="J33" s="63"/>
    </row>
    <row r="34" spans="2:10" ht="13">
      <c r="B34" s="15" t="s">
        <v>79</v>
      </c>
      <c r="C34" s="15"/>
      <c r="D34" s="17" t="s">
        <v>14</v>
      </c>
      <c r="E34" s="17"/>
      <c r="F34" s="179">
        <v>3.5999999999999997E-2</v>
      </c>
      <c r="I34" s="63"/>
      <c r="J34" s="63"/>
    </row>
    <row r="35" spans="2:10" ht="13">
      <c r="B35" s="15" t="s">
        <v>33</v>
      </c>
      <c r="C35" s="15"/>
      <c r="D35" s="17" t="s">
        <v>14</v>
      </c>
      <c r="E35" s="17"/>
      <c r="F35" s="179">
        <v>0.95</v>
      </c>
      <c r="I35" s="63"/>
      <c r="J35" s="63"/>
    </row>
    <row r="36" spans="2:10">
      <c r="B36" s="11"/>
      <c r="C36" s="11"/>
      <c r="D36" s="11"/>
      <c r="E36" s="11"/>
      <c r="F36" s="186"/>
    </row>
    <row r="37" spans="2:10" ht="14.5">
      <c r="B37" s="175" t="s">
        <v>73</v>
      </c>
      <c r="C37" s="18"/>
      <c r="D37" s="18"/>
      <c r="E37" s="18"/>
      <c r="F37" s="181"/>
    </row>
    <row r="38" spans="2:10" ht="13">
      <c r="B38" s="15" t="s">
        <v>54</v>
      </c>
      <c r="C38" s="15"/>
      <c r="D38" s="17" t="s">
        <v>14</v>
      </c>
      <c r="E38" s="17"/>
      <c r="F38" s="179">
        <v>0.01</v>
      </c>
      <c r="I38" s="63"/>
      <c r="J38" s="63"/>
    </row>
    <row r="39" spans="2:10" ht="13">
      <c r="B39" s="15"/>
      <c r="C39" s="15"/>
      <c r="D39" s="17"/>
      <c r="E39" s="17"/>
      <c r="F39" s="241"/>
    </row>
    <row r="40" spans="2:10" ht="14.5">
      <c r="B40" s="175" t="s">
        <v>83</v>
      </c>
      <c r="C40" s="11"/>
      <c r="D40" s="11"/>
      <c r="E40" s="11"/>
      <c r="F40" s="254"/>
    </row>
    <row r="41" spans="2:10" ht="13">
      <c r="B41" s="20" t="s">
        <v>196</v>
      </c>
      <c r="C41" s="20"/>
      <c r="D41" s="21" t="s">
        <v>7</v>
      </c>
      <c r="E41" s="20"/>
      <c r="F41" s="182">
        <v>1</v>
      </c>
    </row>
    <row r="42" spans="2:10" ht="13">
      <c r="B42" s="15" t="s">
        <v>41</v>
      </c>
      <c r="C42" s="15"/>
      <c r="D42" s="17" t="s">
        <v>45</v>
      </c>
      <c r="E42" s="15"/>
      <c r="F42" s="194">
        <v>3840</v>
      </c>
    </row>
    <row r="43" spans="2:10" ht="13">
      <c r="B43" s="15" t="s">
        <v>42</v>
      </c>
      <c r="C43" s="15"/>
      <c r="D43" s="17" t="s">
        <v>46</v>
      </c>
      <c r="E43" s="15"/>
      <c r="F43" s="194">
        <v>3200</v>
      </c>
    </row>
    <row r="44" spans="2:10" ht="13">
      <c r="B44" s="15" t="s">
        <v>43</v>
      </c>
      <c r="C44" s="15"/>
      <c r="D44" s="17" t="s">
        <v>47</v>
      </c>
      <c r="E44" s="15"/>
      <c r="F44" s="194">
        <v>1.41</v>
      </c>
    </row>
    <row r="45" spans="2:10" ht="13">
      <c r="B45" s="15" t="s">
        <v>44</v>
      </c>
      <c r="C45" s="15"/>
      <c r="D45" s="17" t="s">
        <v>49</v>
      </c>
      <c r="E45" s="15"/>
      <c r="F45" s="194">
        <v>1834.35</v>
      </c>
    </row>
    <row r="46" spans="2:10" ht="13">
      <c r="B46" s="15" t="s">
        <v>50</v>
      </c>
      <c r="C46" s="15"/>
      <c r="D46" s="17" t="s">
        <v>14</v>
      </c>
      <c r="E46" s="15"/>
      <c r="F46" s="188">
        <v>0.05</v>
      </c>
    </row>
  </sheetData>
  <sheetProtection sheet="1" selectLockedCells="1"/>
  <scenarios current="0" show="0">
    <scenario name="Solar PV" locked="1" count="15" user="Shiv V" comment="Created by Shiv V on 04-12-2019_x000a_Modified by Shiv V on 04-12-2019_x000a_Modified by Shiv V on 13-04-2020_x000a_Modified by Shiv V on 17-04-2020_x000a_Modified by Shiv V on 28-09-2020">
      <inputCells r="F13" val="33500" numFmtId="166"/>
      <inputCells r="F23" val="10" numFmtId="41"/>
      <inputCells r="F31" val="-"/>
      <inputCells r="F38" val="0.02" numFmtId="10"/>
      <inputCells r="F26" val="0.014" numFmtId="10"/>
      <inputCells r="F27" val="0.0572" numFmtId="10"/>
      <inputCells r="F28" val="0.0035" numFmtId="10"/>
      <inputCells r="F15" val="1000"/>
      <inputCells r="F16" val="25" numFmtId="41"/>
      <inputCells r="F17" val="0.19" numFmtId="9"/>
      <inputCells r="F18" val="0" numFmtId="10"/>
      <inputCells r="F33" val="25" numFmtId="41"/>
      <inputCells r="F34" val="0.036" numFmtId="10"/>
      <inputCells r="F35" val="0.95" numFmtId="10"/>
      <inputCells r="I8" val="Solar PV"/>
    </scenario>
    <scenario name="Wind" locked="1" count="14" user="Shiv V" comment="Created by Shiv V on 04-12-2019_x000a_Modified by Shiv V on 04-12-2019_x000a_Modified by Shiv V on 13-04-2020_x000a_Modified by Shiv V on 17-04-2020_x000a_Modified by Shiv V on 08-06-2020_x000a_Modified by Shiv V on 28-09-2020">
      <inputCells r="F13" val="52500" numFmtId="166"/>
      <inputCells r="F23" val="10" numFmtId="41"/>
      <inputCells r="F31" val="-"/>
      <inputCells r="F26" val="0.00968" numFmtId="10"/>
      <inputCells r="F27" val="0.0572" numFmtId="10"/>
      <inputCells r="F28" val="0.0064" numFmtId="10"/>
      <inputCells r="F15" val="1000"/>
      <inputCells r="F16" val="25" numFmtId="41"/>
      <inputCells r="F17" val="0.2915" numFmtId="9"/>
      <inputCells r="F18" val="0" numFmtId="10"/>
      <inputCells r="F33" val="25" numFmtId="41"/>
      <inputCells r="F34" val="0.036" numFmtId="10"/>
      <inputCells r="F35" val="0.85" numFmtId="10"/>
      <inputCells r="I8" val="Wind"/>
    </scenario>
    <scenario name="Biomass" locked="1" count="20" user="Shiv V" comment="Created by Shiv V on 04-12-2019_x000a_Modified by Shiv V on 04-12-2019_x000a_Modified by Shiv V on 13-04-2020_x000a_Modified by Shiv V on 17-04-2020_x000a_Modified by Shiv V on 08-06-2020_x000a_Modified by Shiv V on 28-09-2020">
      <inputCells r="F13" val="55000" numFmtId="166"/>
      <inputCells r="F23" val="10" numFmtId="41"/>
      <inputCells r="F31" val="-"/>
      <inputCells r="F41" val="1" numFmtId="166"/>
      <inputCells r="F42" val="3840" numFmtId="43"/>
      <inputCells r="F43" val="3200" numFmtId="43"/>
      <inputCells r="F44" val="1.2" numFmtId="43"/>
      <inputCells r="F45" val="2967.35" numFmtId="43"/>
      <inputCells r="F46" val="0.05" numFmtId="9"/>
      <inputCells r="F26" val="0.04385" numFmtId="10"/>
      <inputCells r="F27" val="0.0572" numFmtId="10"/>
      <inputCells r="F28" val="0" numFmtId="10"/>
      <inputCells r="F15" val="1000"/>
      <inputCells r="F16" val="20" numFmtId="41"/>
      <inputCells r="F17" val="0.8" numFmtId="9"/>
      <inputCells r="F18" val="0.1" numFmtId="10"/>
      <inputCells r="F33" val="20" numFmtId="41"/>
      <inputCells r="F34" val="0.045" numFmtId="10"/>
      <inputCells r="F35" val="0.85" numFmtId="10"/>
      <inputCells r="I8" val="Biomass"/>
    </scenario>
    <scenario name="Bagasse" locked="1" count="20" user="Shiv V" comment="Created by Shiv V on 04-12-2019_x000a_Modified by Shiv V on 04-12-2019_x000a_Modified by Shiv V on 13-04-2020_x000a_Modified by Shiv V on 17-04-2020_x000a_Modified by Shiv V on 08-06-2020_x000a_Modified by Shiv V on 28-09-2020">
      <inputCells r="F13" val="52000" numFmtId="166"/>
      <inputCells r="F23" val="10" numFmtId="41"/>
      <inputCells r="F31" val="-"/>
      <inputCells r="F41" val="1" numFmtId="166"/>
      <inputCells r="F42" val="3840" numFmtId="43"/>
      <inputCells r="F43" val="3200" numFmtId="43"/>
      <inputCells r="F44" val="1.41" numFmtId="43"/>
      <inputCells r="F45" val="1834.35" numFmtId="43"/>
      <inputCells r="F46" val="0.05" numFmtId="9"/>
      <inputCells r="F26" val="0.043" numFmtId="10"/>
      <inputCells r="F27" val="0.0572" numFmtId="10"/>
      <inputCells r="F28" val="0" numFmtId="10"/>
      <inputCells r="F15" val="1000"/>
      <inputCells r="F16" val="20" numFmtId="41"/>
      <inputCells r="F17" val="0.55" numFmtId="9"/>
      <inputCells r="F18" val="0.085" numFmtId="10"/>
      <inputCells r="F33" val="20" numFmtId="41"/>
      <inputCells r="F34" val="0.045" numFmtId="10"/>
      <inputCells r="F35" val="0.85" numFmtId="10"/>
      <inputCells r="I8" val="Bagasse"/>
    </scenario>
    <scenario name="Small Hydro" locked="1" count="14" user="Shiv V" comment="Created by Shiv V on 04-12-2019_x000a_Modified by Shiv V on 04-12-2019_x000a_Modified by Shiv V on 13-04-2020_x000a_Modified by Shiv V on 17-04-2020_x000a_Modified by Shiv V on 08-06-2020_x000a_Modified by Shiv V on 15-09-2020_x000a_Modified by Shiv V on 28-09-2020">
      <inputCells r="F13" val="74300" numFmtId="166"/>
      <inputCells r="F23" val="13" numFmtId="41"/>
      <inputCells r="F31" val="15" numFmtId="2"/>
      <inputCells r="F26" val="0.0354" numFmtId="10"/>
      <inputCells r="F27" val="0.0572" numFmtId="10"/>
      <inputCells r="F28" val="0" numFmtId="10"/>
      <inputCells r="F15" val="1000"/>
      <inputCells r="F16" val="35" numFmtId="41"/>
      <inputCells r="F17" val="0.3" numFmtId="9"/>
      <inputCells r="F18" val="0.01" numFmtId="10"/>
      <inputCells r="F33" val="13" numFmtId="41"/>
      <inputCells r="F34" val="0.0528" numFmtId="10"/>
      <inputCells r="F35" val="0.9" numFmtId="10"/>
      <inputCells r="I8" val="Small Hydro"/>
    </scenario>
  </scenarios>
  <mergeCells count="2">
    <mergeCell ref="B8:F8"/>
    <mergeCell ref="K8:M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28" r:id="rId4" name="Option Button 40">
              <controlPr defaultSize="0" autoFill="0" autoLine="0" autoPict="0" macro="[0]!SelectSolar">
                <anchor moveWithCells="1">
                  <from>
                    <xdr:col>1</xdr:col>
                    <xdr:colOff>2667000</xdr:colOff>
                    <xdr:row>3</xdr:row>
                    <xdr:rowOff>38100</xdr:rowOff>
                  </from>
                  <to>
                    <xdr:col>1</xdr:col>
                    <xdr:colOff>3251200</xdr:colOff>
                    <xdr:row>5</xdr:row>
                    <xdr:rowOff>0</xdr:rowOff>
                  </to>
                </anchor>
              </controlPr>
            </control>
          </mc:Choice>
        </mc:AlternateContent>
        <mc:AlternateContent xmlns:mc="http://schemas.openxmlformats.org/markup-compatibility/2006">
          <mc:Choice Requires="x14">
            <control shapeId="12329" r:id="rId5" name="Option Button 41">
              <controlPr defaultSize="0" autoFill="0" autoLine="0" autoPict="0" macro="[0]!SelectWind">
                <anchor moveWithCells="1">
                  <from>
                    <xdr:col>2</xdr:col>
                    <xdr:colOff>177800</xdr:colOff>
                    <xdr:row>3</xdr:row>
                    <xdr:rowOff>25400</xdr:rowOff>
                  </from>
                  <to>
                    <xdr:col>4</xdr:col>
                    <xdr:colOff>12700</xdr:colOff>
                    <xdr:row>4</xdr:row>
                    <xdr:rowOff>139700</xdr:rowOff>
                  </to>
                </anchor>
              </controlPr>
            </control>
          </mc:Choice>
        </mc:AlternateContent>
        <mc:AlternateContent xmlns:mc="http://schemas.openxmlformats.org/markup-compatibility/2006">
          <mc:Choice Requires="x14">
            <control shapeId="12331" r:id="rId6" name="Option Button 43">
              <controlPr defaultSize="0" autoFill="0" autoLine="0" autoPict="0" macro="[0]!SelectBiomass">
                <anchor moveWithCells="1">
                  <from>
                    <xdr:col>5</xdr:col>
                    <xdr:colOff>38100</xdr:colOff>
                    <xdr:row>3</xdr:row>
                    <xdr:rowOff>25400</xdr:rowOff>
                  </from>
                  <to>
                    <xdr:col>5</xdr:col>
                    <xdr:colOff>622300</xdr:colOff>
                    <xdr:row>4</xdr:row>
                    <xdr:rowOff>139700</xdr:rowOff>
                  </to>
                </anchor>
              </controlPr>
            </control>
          </mc:Choice>
        </mc:AlternateContent>
        <mc:AlternateContent xmlns:mc="http://schemas.openxmlformats.org/markup-compatibility/2006">
          <mc:Choice Requires="x14">
            <control shapeId="12332" r:id="rId7" name="Option Button 44">
              <controlPr defaultSize="0" autoFill="0" autoLine="0" autoPict="0" macro="[0]!SelectBagasse">
                <anchor moveWithCells="1">
                  <from>
                    <xdr:col>5</xdr:col>
                    <xdr:colOff>863600</xdr:colOff>
                    <xdr:row>3</xdr:row>
                    <xdr:rowOff>25400</xdr:rowOff>
                  </from>
                  <to>
                    <xdr:col>6</xdr:col>
                    <xdr:colOff>546100</xdr:colOff>
                    <xdr:row>4</xdr:row>
                    <xdr:rowOff>139700</xdr:rowOff>
                  </to>
                </anchor>
              </controlPr>
            </control>
          </mc:Choice>
        </mc:AlternateContent>
        <mc:AlternateContent xmlns:mc="http://schemas.openxmlformats.org/markup-compatibility/2006">
          <mc:Choice Requires="x14">
            <control shapeId="12334" r:id="rId8" name="Option Button 46">
              <controlPr defaultSize="0" autoFill="0" autoLine="0" autoPict="0" macro="[0]!SelectSmallHydro">
                <anchor moveWithCells="1">
                  <from>
                    <xdr:col>8</xdr:col>
                    <xdr:colOff>50800</xdr:colOff>
                    <xdr:row>3</xdr:row>
                    <xdr:rowOff>12700</xdr:rowOff>
                  </from>
                  <to>
                    <xdr:col>10</xdr:col>
                    <xdr:colOff>101600</xdr:colOff>
                    <xdr:row>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6B7A8"/>
  </sheetPr>
  <dimension ref="A1:AP45"/>
  <sheetViews>
    <sheetView showGridLines="0" workbookViewId="0">
      <selection activeCell="B18" sqref="B18"/>
    </sheetView>
  </sheetViews>
  <sheetFormatPr defaultColWidth="8.81640625" defaultRowHeight="11.5"/>
  <cols>
    <col min="1" max="1" width="3.36328125" style="19" customWidth="1"/>
    <col min="2" max="2" width="36.81640625" style="19" customWidth="1"/>
    <col min="3" max="3" width="1.36328125" style="19" customWidth="1"/>
    <col min="4" max="4" width="8.81640625" style="19" customWidth="1"/>
    <col min="5" max="5" width="1.36328125" style="19" customWidth="1"/>
    <col min="6" max="6" width="9.81640625" style="19" bestFit="1" customWidth="1"/>
    <col min="7" max="7" width="1.36328125" style="19" customWidth="1"/>
    <col min="8" max="10" width="10.453125" style="19" bestFit="1" customWidth="1"/>
    <col min="11" max="32" width="10.453125" style="19" customWidth="1"/>
    <col min="33" max="41" width="8.81640625" style="19" customWidth="1"/>
    <col min="42" max="16384" width="8.81640625" style="19"/>
  </cols>
  <sheetData>
    <row r="1" spans="1:42" ht="14.5">
      <c r="A1" s="219" t="s">
        <v>202</v>
      </c>
      <c r="I1" s="23"/>
    </row>
    <row r="2" spans="1:42" ht="13">
      <c r="B2" s="24"/>
      <c r="C2" s="24"/>
      <c r="D2" s="24"/>
      <c r="E2" s="24"/>
      <c r="F2" s="24"/>
      <c r="G2" s="24"/>
      <c r="H2" s="24"/>
      <c r="I2" s="24"/>
      <c r="J2" s="24"/>
      <c r="K2" s="24"/>
      <c r="L2" s="24"/>
      <c r="M2" s="41" t="s">
        <v>76</v>
      </c>
      <c r="N2" s="24"/>
      <c r="O2" s="24"/>
      <c r="P2" s="24"/>
      <c r="Q2" s="24"/>
      <c r="R2" s="24"/>
      <c r="S2" s="24"/>
      <c r="T2" s="24"/>
      <c r="U2" s="24"/>
      <c r="V2" s="24"/>
      <c r="W2" s="24"/>
      <c r="X2" s="24"/>
      <c r="Y2" s="24"/>
      <c r="Z2" s="24"/>
      <c r="AA2" s="24"/>
      <c r="AB2" s="24"/>
      <c r="AC2" s="24"/>
      <c r="AD2" s="24"/>
      <c r="AE2" s="24"/>
      <c r="AF2" s="24"/>
    </row>
    <row r="3" spans="1:42" ht="14.5">
      <c r="B3" s="201" t="s">
        <v>75</v>
      </c>
      <c r="C3" s="206"/>
      <c r="D3" s="201" t="s">
        <v>0</v>
      </c>
      <c r="E3" s="206"/>
      <c r="F3" s="201" t="s">
        <v>74</v>
      </c>
      <c r="G3" s="206"/>
      <c r="H3" s="201">
        <v>1</v>
      </c>
      <c r="I3" s="201">
        <f>H3+1</f>
        <v>2</v>
      </c>
      <c r="J3" s="201">
        <f t="shared" ref="J3:AF3" si="0">I3+1</f>
        <v>3</v>
      </c>
      <c r="K3" s="201">
        <f t="shared" si="0"/>
        <v>4</v>
      </c>
      <c r="L3" s="201">
        <f t="shared" si="0"/>
        <v>5</v>
      </c>
      <c r="M3" s="201">
        <f t="shared" si="0"/>
        <v>6</v>
      </c>
      <c r="N3" s="201">
        <f t="shared" si="0"/>
        <v>7</v>
      </c>
      <c r="O3" s="201">
        <f t="shared" si="0"/>
        <v>8</v>
      </c>
      <c r="P3" s="201">
        <f t="shared" si="0"/>
        <v>9</v>
      </c>
      <c r="Q3" s="201">
        <f t="shared" si="0"/>
        <v>10</v>
      </c>
      <c r="R3" s="201">
        <f t="shared" si="0"/>
        <v>11</v>
      </c>
      <c r="S3" s="201">
        <f t="shared" si="0"/>
        <v>12</v>
      </c>
      <c r="T3" s="201">
        <f t="shared" si="0"/>
        <v>13</v>
      </c>
      <c r="U3" s="201">
        <f t="shared" si="0"/>
        <v>14</v>
      </c>
      <c r="V3" s="201">
        <f t="shared" si="0"/>
        <v>15</v>
      </c>
      <c r="W3" s="201">
        <f t="shared" si="0"/>
        <v>16</v>
      </c>
      <c r="X3" s="201">
        <f t="shared" si="0"/>
        <v>17</v>
      </c>
      <c r="Y3" s="201">
        <f t="shared" si="0"/>
        <v>18</v>
      </c>
      <c r="Z3" s="201">
        <f t="shared" si="0"/>
        <v>19</v>
      </c>
      <c r="AA3" s="201">
        <f t="shared" si="0"/>
        <v>20</v>
      </c>
      <c r="AB3" s="201">
        <f t="shared" si="0"/>
        <v>21</v>
      </c>
      <c r="AC3" s="201">
        <f t="shared" si="0"/>
        <v>22</v>
      </c>
      <c r="AD3" s="201">
        <f t="shared" si="0"/>
        <v>23</v>
      </c>
      <c r="AE3" s="201">
        <f t="shared" si="0"/>
        <v>24</v>
      </c>
      <c r="AF3" s="201">
        <f t="shared" si="0"/>
        <v>25</v>
      </c>
      <c r="AG3" s="201">
        <f t="shared" ref="AG3:AP3" si="1">AF3+1</f>
        <v>26</v>
      </c>
      <c r="AH3" s="201">
        <f t="shared" si="1"/>
        <v>27</v>
      </c>
      <c r="AI3" s="201">
        <f t="shared" si="1"/>
        <v>28</v>
      </c>
      <c r="AJ3" s="201">
        <f t="shared" si="1"/>
        <v>29</v>
      </c>
      <c r="AK3" s="201">
        <f t="shared" si="1"/>
        <v>30</v>
      </c>
      <c r="AL3" s="201">
        <f t="shared" si="1"/>
        <v>31</v>
      </c>
      <c r="AM3" s="201">
        <f t="shared" si="1"/>
        <v>32</v>
      </c>
      <c r="AN3" s="201">
        <f t="shared" si="1"/>
        <v>33</v>
      </c>
      <c r="AO3" s="201">
        <f t="shared" si="1"/>
        <v>34</v>
      </c>
      <c r="AP3" s="201">
        <f t="shared" si="1"/>
        <v>35</v>
      </c>
    </row>
    <row r="4" spans="1:42">
      <c r="B4" s="25"/>
      <c r="C4" s="25"/>
      <c r="D4" s="26"/>
      <c r="E4" s="27"/>
      <c r="F4" s="25"/>
      <c r="G4" s="25"/>
      <c r="H4" s="28"/>
      <c r="I4" s="28"/>
      <c r="J4" s="28"/>
      <c r="K4" s="28"/>
      <c r="L4" s="28"/>
      <c r="M4" s="28"/>
      <c r="N4" s="28"/>
      <c r="O4" s="28"/>
      <c r="P4" s="28"/>
      <c r="Q4" s="28"/>
      <c r="R4" s="28"/>
      <c r="S4" s="28"/>
      <c r="T4" s="28"/>
      <c r="U4" s="28"/>
      <c r="V4" s="28"/>
      <c r="W4" s="28"/>
      <c r="X4" s="28"/>
      <c r="Y4" s="28"/>
      <c r="Z4" s="28"/>
      <c r="AA4" s="28"/>
      <c r="AB4" s="28"/>
      <c r="AC4" s="28"/>
      <c r="AD4" s="28"/>
      <c r="AE4" s="28"/>
      <c r="AF4" s="28"/>
    </row>
    <row r="5" spans="1:42" s="36" customFormat="1" ht="14.5">
      <c r="B5" s="205" t="s">
        <v>17</v>
      </c>
      <c r="C5" s="29"/>
      <c r="D5" s="30"/>
      <c r="E5" s="31"/>
      <c r="F5" s="32"/>
      <c r="G5" s="33"/>
      <c r="H5" s="34"/>
      <c r="I5" s="34"/>
      <c r="J5" s="34"/>
      <c r="K5" s="34"/>
      <c r="L5" s="34"/>
      <c r="M5" s="34"/>
      <c r="N5" s="34"/>
      <c r="O5" s="34"/>
      <c r="P5" s="34"/>
      <c r="Q5" s="34"/>
      <c r="R5" s="34"/>
      <c r="S5" s="34"/>
      <c r="T5" s="34"/>
      <c r="U5" s="34"/>
      <c r="V5" s="34"/>
      <c r="W5" s="34"/>
      <c r="X5" s="34"/>
      <c r="Y5" s="34"/>
      <c r="Z5" s="34"/>
      <c r="AA5" s="34"/>
      <c r="AB5" s="34"/>
      <c r="AC5" s="34"/>
      <c r="AD5" s="34"/>
      <c r="AE5" s="34"/>
      <c r="AF5" s="34"/>
      <c r="AG5" s="35"/>
      <c r="AH5" s="35"/>
      <c r="AI5" s="35"/>
      <c r="AJ5" s="35"/>
      <c r="AK5" s="35"/>
      <c r="AL5" s="35"/>
      <c r="AM5" s="35"/>
      <c r="AN5" s="35"/>
      <c r="AO5" s="35"/>
      <c r="AP5" s="35"/>
    </row>
    <row r="6" spans="1:42" ht="13">
      <c r="B6" s="15" t="s">
        <v>84</v>
      </c>
      <c r="C6" s="15"/>
      <c r="D6" s="17" t="s">
        <v>29</v>
      </c>
      <c r="E6" s="15"/>
      <c r="F6" s="15"/>
      <c r="G6" s="37"/>
      <c r="H6" s="38">
        <f t="shared" ref="H6:AP6" si="2">System_size*24*365*CUF*Grid_availability*IF(Technology="Solar PV",(1-SolarPV_degradation)^(H3-1),1)</f>
        <v>1581180</v>
      </c>
      <c r="I6" s="38">
        <f t="shared" si="2"/>
        <v>1565368.2</v>
      </c>
      <c r="J6" s="38">
        <f t="shared" si="2"/>
        <v>1549714.5179999999</v>
      </c>
      <c r="K6" s="38">
        <f t="shared" si="2"/>
        <v>1534217.3728199999</v>
      </c>
      <c r="L6" s="38">
        <f t="shared" si="2"/>
        <v>1518875.1990918</v>
      </c>
      <c r="M6" s="38">
        <f t="shared" si="2"/>
        <v>1503686.447100882</v>
      </c>
      <c r="N6" s="38">
        <f t="shared" si="2"/>
        <v>1488649.582629873</v>
      </c>
      <c r="O6" s="38">
        <f t="shared" si="2"/>
        <v>1473763.0868035743</v>
      </c>
      <c r="P6" s="38">
        <f t="shared" si="2"/>
        <v>1459025.4559355385</v>
      </c>
      <c r="Q6" s="38">
        <f t="shared" si="2"/>
        <v>1444435.201376183</v>
      </c>
      <c r="R6" s="38">
        <f t="shared" si="2"/>
        <v>1429990.8493624211</v>
      </c>
      <c r="S6" s="38">
        <f t="shared" si="2"/>
        <v>1415690.940868797</v>
      </c>
      <c r="T6" s="38">
        <f t="shared" si="2"/>
        <v>1401534.0314601089</v>
      </c>
      <c r="U6" s="38">
        <f t="shared" si="2"/>
        <v>1387518.6911455079</v>
      </c>
      <c r="V6" s="38">
        <f t="shared" si="2"/>
        <v>1373643.5042340527</v>
      </c>
      <c r="W6" s="38">
        <f t="shared" si="2"/>
        <v>1359907.0691917122</v>
      </c>
      <c r="X6" s="38">
        <f t="shared" si="2"/>
        <v>1346307.9984997951</v>
      </c>
      <c r="Y6" s="38">
        <f t="shared" si="2"/>
        <v>1332844.9185147972</v>
      </c>
      <c r="Z6" s="38">
        <f t="shared" si="2"/>
        <v>1319516.4693296491</v>
      </c>
      <c r="AA6" s="38">
        <f t="shared" si="2"/>
        <v>1306321.3046363525</v>
      </c>
      <c r="AB6" s="38">
        <f t="shared" si="2"/>
        <v>1293258.0915899891</v>
      </c>
      <c r="AC6" s="38">
        <f t="shared" si="2"/>
        <v>1280325.5106740892</v>
      </c>
      <c r="AD6" s="38">
        <f t="shared" si="2"/>
        <v>1267522.2555673481</v>
      </c>
      <c r="AE6" s="38">
        <f t="shared" si="2"/>
        <v>1254847.0330116749</v>
      </c>
      <c r="AF6" s="38">
        <f t="shared" si="2"/>
        <v>1242298.5626815581</v>
      </c>
      <c r="AG6" s="38">
        <f t="shared" si="2"/>
        <v>1229875.5770547423</v>
      </c>
      <c r="AH6" s="38">
        <f t="shared" si="2"/>
        <v>1217576.8212841949</v>
      </c>
      <c r="AI6" s="38">
        <f t="shared" si="2"/>
        <v>1205401.0530713531</v>
      </c>
      <c r="AJ6" s="38">
        <f t="shared" si="2"/>
        <v>1193347.0425406394</v>
      </c>
      <c r="AK6" s="38">
        <f t="shared" si="2"/>
        <v>1181413.5721152329</v>
      </c>
      <c r="AL6" s="38">
        <f t="shared" si="2"/>
        <v>1169599.4363940808</v>
      </c>
      <c r="AM6" s="38">
        <f t="shared" si="2"/>
        <v>1157903.4420301397</v>
      </c>
      <c r="AN6" s="38">
        <f t="shared" si="2"/>
        <v>1146324.4076098385</v>
      </c>
      <c r="AO6" s="38">
        <f t="shared" si="2"/>
        <v>1134861.16353374</v>
      </c>
      <c r="AP6" s="38">
        <f t="shared" si="2"/>
        <v>1123512.5518984026</v>
      </c>
    </row>
    <row r="7" spans="1:42" ht="13">
      <c r="B7" s="39" t="s">
        <v>85</v>
      </c>
      <c r="C7" s="39"/>
      <c r="D7" s="17" t="s">
        <v>29</v>
      </c>
      <c r="E7" s="15"/>
      <c r="F7" s="15"/>
      <c r="G7" s="37"/>
      <c r="H7" s="90">
        <f t="shared" ref="H7:AP7" si="3">H6-(H6*Aux_consumption)</f>
        <v>1581180</v>
      </c>
      <c r="I7" s="90">
        <f t="shared" si="3"/>
        <v>1565368.2</v>
      </c>
      <c r="J7" s="90">
        <f t="shared" si="3"/>
        <v>1549714.5179999999</v>
      </c>
      <c r="K7" s="90">
        <f t="shared" si="3"/>
        <v>1534217.3728199999</v>
      </c>
      <c r="L7" s="90">
        <f t="shared" si="3"/>
        <v>1518875.1990918</v>
      </c>
      <c r="M7" s="90">
        <f t="shared" si="3"/>
        <v>1503686.447100882</v>
      </c>
      <c r="N7" s="90">
        <f t="shared" si="3"/>
        <v>1488649.582629873</v>
      </c>
      <c r="O7" s="90">
        <f t="shared" si="3"/>
        <v>1473763.0868035743</v>
      </c>
      <c r="P7" s="90">
        <f t="shared" si="3"/>
        <v>1459025.4559355385</v>
      </c>
      <c r="Q7" s="90">
        <f t="shared" si="3"/>
        <v>1444435.201376183</v>
      </c>
      <c r="R7" s="90">
        <f t="shared" si="3"/>
        <v>1429990.8493624211</v>
      </c>
      <c r="S7" s="90">
        <f t="shared" si="3"/>
        <v>1415690.940868797</v>
      </c>
      <c r="T7" s="90">
        <f t="shared" si="3"/>
        <v>1401534.0314601089</v>
      </c>
      <c r="U7" s="90">
        <f t="shared" si="3"/>
        <v>1387518.6911455079</v>
      </c>
      <c r="V7" s="90">
        <f t="shared" si="3"/>
        <v>1373643.5042340527</v>
      </c>
      <c r="W7" s="90">
        <f t="shared" si="3"/>
        <v>1359907.0691917122</v>
      </c>
      <c r="X7" s="90">
        <f t="shared" si="3"/>
        <v>1346307.9984997951</v>
      </c>
      <c r="Y7" s="90">
        <f t="shared" si="3"/>
        <v>1332844.9185147972</v>
      </c>
      <c r="Z7" s="90">
        <f t="shared" si="3"/>
        <v>1319516.4693296491</v>
      </c>
      <c r="AA7" s="90">
        <f t="shared" si="3"/>
        <v>1306321.3046363525</v>
      </c>
      <c r="AB7" s="90">
        <f t="shared" si="3"/>
        <v>1293258.0915899891</v>
      </c>
      <c r="AC7" s="90">
        <f t="shared" si="3"/>
        <v>1280325.5106740892</v>
      </c>
      <c r="AD7" s="90">
        <f t="shared" si="3"/>
        <v>1267522.2555673481</v>
      </c>
      <c r="AE7" s="90">
        <f t="shared" si="3"/>
        <v>1254847.0330116749</v>
      </c>
      <c r="AF7" s="90">
        <f t="shared" si="3"/>
        <v>1242298.5626815581</v>
      </c>
      <c r="AG7" s="90">
        <f t="shared" si="3"/>
        <v>1229875.5770547423</v>
      </c>
      <c r="AH7" s="90">
        <f t="shared" si="3"/>
        <v>1217576.8212841949</v>
      </c>
      <c r="AI7" s="90">
        <f t="shared" si="3"/>
        <v>1205401.0530713531</v>
      </c>
      <c r="AJ7" s="90">
        <f t="shared" si="3"/>
        <v>1193347.0425406394</v>
      </c>
      <c r="AK7" s="90">
        <f t="shared" si="3"/>
        <v>1181413.5721152329</v>
      </c>
      <c r="AL7" s="90">
        <f t="shared" si="3"/>
        <v>1169599.4363940808</v>
      </c>
      <c r="AM7" s="90">
        <f t="shared" si="3"/>
        <v>1157903.4420301397</v>
      </c>
      <c r="AN7" s="90">
        <f t="shared" si="3"/>
        <v>1146324.4076098385</v>
      </c>
      <c r="AO7" s="90">
        <f t="shared" si="3"/>
        <v>1134861.16353374</v>
      </c>
      <c r="AP7" s="90">
        <f t="shared" si="3"/>
        <v>1123512.5518984026</v>
      </c>
    </row>
    <row r="8" spans="1:42" ht="13">
      <c r="B8" s="15" t="s">
        <v>19</v>
      </c>
      <c r="C8" s="15"/>
      <c r="D8" s="40" t="s">
        <v>15</v>
      </c>
      <c r="E8" s="41"/>
      <c r="F8" s="41"/>
      <c r="G8" s="42"/>
      <c r="H8" s="43">
        <f>OandM_year1*Gross_capex</f>
        <v>469000</v>
      </c>
      <c r="I8" s="89">
        <f t="shared" ref="I8:AP8" si="4">H8+(H8*OandM_escalation)</f>
        <v>495826.8</v>
      </c>
      <c r="J8" s="89">
        <f t="shared" si="4"/>
        <v>524188.09295999998</v>
      </c>
      <c r="K8" s="89">
        <f t="shared" si="4"/>
        <v>554171.65187731199</v>
      </c>
      <c r="L8" s="89">
        <f t="shared" si="4"/>
        <v>585870.27036469418</v>
      </c>
      <c r="M8" s="89">
        <f t="shared" si="4"/>
        <v>619382.04982955474</v>
      </c>
      <c r="N8" s="89">
        <f t="shared" si="4"/>
        <v>654810.70307980524</v>
      </c>
      <c r="O8" s="89">
        <f t="shared" si="4"/>
        <v>692265.87529597012</v>
      </c>
      <c r="P8" s="89">
        <f t="shared" si="4"/>
        <v>731863.48336289963</v>
      </c>
      <c r="Q8" s="89">
        <f t="shared" si="4"/>
        <v>773726.07461125753</v>
      </c>
      <c r="R8" s="89">
        <f t="shared" si="4"/>
        <v>817983.20607902145</v>
      </c>
      <c r="S8" s="89">
        <f t="shared" si="4"/>
        <v>864771.84546674148</v>
      </c>
      <c r="T8" s="89">
        <f t="shared" si="4"/>
        <v>914236.79502743913</v>
      </c>
      <c r="U8" s="89">
        <f t="shared" si="4"/>
        <v>966531.1397030087</v>
      </c>
      <c r="V8" s="89">
        <f t="shared" si="4"/>
        <v>1021816.7208940207</v>
      </c>
      <c r="W8" s="89">
        <f t="shared" si="4"/>
        <v>1080264.6373291588</v>
      </c>
      <c r="X8" s="89">
        <f t="shared" si="4"/>
        <v>1142055.7745843867</v>
      </c>
      <c r="Y8" s="89">
        <f t="shared" si="4"/>
        <v>1207381.3648906136</v>
      </c>
      <c r="Z8" s="89">
        <f t="shared" si="4"/>
        <v>1276443.5789623568</v>
      </c>
      <c r="AA8" s="89">
        <f t="shared" si="4"/>
        <v>1349456.1516790036</v>
      </c>
      <c r="AB8" s="89">
        <f t="shared" si="4"/>
        <v>1426645.0435550427</v>
      </c>
      <c r="AC8" s="89">
        <f t="shared" si="4"/>
        <v>1508249.1400463912</v>
      </c>
      <c r="AD8" s="89">
        <f t="shared" si="4"/>
        <v>1594520.9908570447</v>
      </c>
      <c r="AE8" s="89">
        <f t="shared" si="4"/>
        <v>1685727.5915340676</v>
      </c>
      <c r="AF8" s="89">
        <f t="shared" si="4"/>
        <v>1782151.2097698164</v>
      </c>
      <c r="AG8" s="89">
        <f t="shared" si="4"/>
        <v>1884090.2589686499</v>
      </c>
      <c r="AH8" s="89">
        <f t="shared" si="4"/>
        <v>1991860.2217816566</v>
      </c>
      <c r="AI8" s="89">
        <f t="shared" si="4"/>
        <v>2105794.6264675674</v>
      </c>
      <c r="AJ8" s="89">
        <f t="shared" si="4"/>
        <v>2226246.0791015122</v>
      </c>
      <c r="AK8" s="89">
        <f t="shared" si="4"/>
        <v>2353587.3548261188</v>
      </c>
      <c r="AL8" s="89">
        <f t="shared" si="4"/>
        <v>2488212.551522173</v>
      </c>
      <c r="AM8" s="89">
        <f t="shared" si="4"/>
        <v>2630538.3094692412</v>
      </c>
      <c r="AN8" s="89">
        <f t="shared" si="4"/>
        <v>2781005.1007708819</v>
      </c>
      <c r="AO8" s="89">
        <f t="shared" si="4"/>
        <v>2940078.5925349761</v>
      </c>
      <c r="AP8" s="89">
        <f t="shared" si="4"/>
        <v>3108251.0880279769</v>
      </c>
    </row>
    <row r="9" spans="1:42" ht="13">
      <c r="B9" s="15" t="s">
        <v>31</v>
      </c>
      <c r="C9" s="15"/>
      <c r="D9" s="40" t="s">
        <v>15</v>
      </c>
      <c r="E9" s="41"/>
      <c r="F9" s="41"/>
      <c r="G9" s="42"/>
      <c r="H9" s="89">
        <f t="shared" ref="H9:AP9" si="5">Insurance*H42</f>
        <v>117250</v>
      </c>
      <c r="I9" s="89">
        <f t="shared" si="5"/>
        <v>113240.05</v>
      </c>
      <c r="J9" s="89">
        <f t="shared" si="5"/>
        <v>109230.1</v>
      </c>
      <c r="K9" s="89">
        <f t="shared" si="5"/>
        <v>105220.15000000001</v>
      </c>
      <c r="L9" s="89">
        <f t="shared" si="5"/>
        <v>101210.2</v>
      </c>
      <c r="M9" s="89">
        <f t="shared" si="5"/>
        <v>97200.25</v>
      </c>
      <c r="N9" s="89">
        <f t="shared" si="5"/>
        <v>93190.3</v>
      </c>
      <c r="O9" s="89">
        <f t="shared" si="5"/>
        <v>89180.35</v>
      </c>
      <c r="P9" s="89">
        <f t="shared" si="5"/>
        <v>85170.400000000009</v>
      </c>
      <c r="Q9" s="89">
        <f t="shared" si="5"/>
        <v>81160.45</v>
      </c>
      <c r="R9" s="89">
        <f t="shared" si="5"/>
        <v>77150.5</v>
      </c>
      <c r="S9" s="89">
        <f t="shared" si="5"/>
        <v>73140.55</v>
      </c>
      <c r="T9" s="89">
        <f t="shared" si="5"/>
        <v>69130.600000000006</v>
      </c>
      <c r="U9" s="89">
        <f t="shared" si="5"/>
        <v>65120.65</v>
      </c>
      <c r="V9" s="89">
        <f t="shared" si="5"/>
        <v>61110.700000000004</v>
      </c>
      <c r="W9" s="89">
        <f t="shared" si="5"/>
        <v>57100.75</v>
      </c>
      <c r="X9" s="89">
        <f t="shared" si="5"/>
        <v>53090.8</v>
      </c>
      <c r="Y9" s="89">
        <f t="shared" si="5"/>
        <v>49080.85</v>
      </c>
      <c r="Z9" s="89">
        <f t="shared" si="5"/>
        <v>45070.9</v>
      </c>
      <c r="AA9" s="89">
        <f t="shared" si="5"/>
        <v>41060.950000000004</v>
      </c>
      <c r="AB9" s="89">
        <f t="shared" si="5"/>
        <v>37051</v>
      </c>
      <c r="AC9" s="89">
        <f t="shared" si="5"/>
        <v>33041.050000000003</v>
      </c>
      <c r="AD9" s="89">
        <f t="shared" si="5"/>
        <v>29031.100000000002</v>
      </c>
      <c r="AE9" s="89">
        <f t="shared" si="5"/>
        <v>25021.15</v>
      </c>
      <c r="AF9" s="89">
        <f t="shared" si="5"/>
        <v>21011.200000000001</v>
      </c>
      <c r="AG9" s="89">
        <f t="shared" si="5"/>
        <v>17001.25</v>
      </c>
      <c r="AH9" s="89">
        <f t="shared" si="5"/>
        <v>17001.25</v>
      </c>
      <c r="AI9" s="89">
        <f t="shared" si="5"/>
        <v>17001.25</v>
      </c>
      <c r="AJ9" s="89">
        <f t="shared" si="5"/>
        <v>17001.25</v>
      </c>
      <c r="AK9" s="89">
        <f t="shared" si="5"/>
        <v>17001.25</v>
      </c>
      <c r="AL9" s="89">
        <f t="shared" si="5"/>
        <v>17001.25</v>
      </c>
      <c r="AM9" s="89">
        <f t="shared" si="5"/>
        <v>17001.25</v>
      </c>
      <c r="AN9" s="89">
        <f t="shared" si="5"/>
        <v>17001.25</v>
      </c>
      <c r="AO9" s="89">
        <f t="shared" si="5"/>
        <v>17001.25</v>
      </c>
      <c r="AP9" s="89">
        <f t="shared" si="5"/>
        <v>17001.25</v>
      </c>
    </row>
    <row r="10" spans="1:42" ht="13">
      <c r="B10" s="15" t="s">
        <v>181</v>
      </c>
      <c r="C10" s="15"/>
      <c r="D10" s="40"/>
      <c r="E10" s="41"/>
      <c r="F10" s="41"/>
      <c r="G10" s="42"/>
      <c r="H10" s="43">
        <f t="shared" ref="H10:AP10" si="6">IF(H3&lt;=n1_years, Annual_depreciation_n1yearsgross, Annual_depreciation_aftern1gross)</f>
        <v>1145700</v>
      </c>
      <c r="I10" s="43">
        <f t="shared" si="6"/>
        <v>1145700</v>
      </c>
      <c r="J10" s="43">
        <f t="shared" si="6"/>
        <v>1145700</v>
      </c>
      <c r="K10" s="43">
        <f t="shared" si="6"/>
        <v>1145700</v>
      </c>
      <c r="L10" s="43">
        <f t="shared" si="6"/>
        <v>1145700</v>
      </c>
      <c r="M10" s="43">
        <f t="shared" si="6"/>
        <v>1145700</v>
      </c>
      <c r="N10" s="43">
        <f t="shared" si="6"/>
        <v>1145700</v>
      </c>
      <c r="O10" s="43">
        <f t="shared" si="6"/>
        <v>1145700</v>
      </c>
      <c r="P10" s="43">
        <f t="shared" si="6"/>
        <v>1145700</v>
      </c>
      <c r="Q10" s="43">
        <f t="shared" si="6"/>
        <v>1145700</v>
      </c>
      <c r="R10" s="43">
        <f t="shared" si="6"/>
        <v>1145700</v>
      </c>
      <c r="S10" s="43">
        <f t="shared" si="6"/>
        <v>1145700</v>
      </c>
      <c r="T10" s="43">
        <f t="shared" si="6"/>
        <v>1145700</v>
      </c>
      <c r="U10" s="43">
        <f t="shared" si="6"/>
        <v>1145700</v>
      </c>
      <c r="V10" s="43">
        <f t="shared" si="6"/>
        <v>1145700</v>
      </c>
      <c r="W10" s="43">
        <f t="shared" si="6"/>
        <v>1145700</v>
      </c>
      <c r="X10" s="43">
        <f t="shared" si="6"/>
        <v>1145700</v>
      </c>
      <c r="Y10" s="43">
        <f t="shared" si="6"/>
        <v>1145700</v>
      </c>
      <c r="Z10" s="43">
        <f t="shared" si="6"/>
        <v>1145700</v>
      </c>
      <c r="AA10" s="43">
        <f t="shared" si="6"/>
        <v>1145700</v>
      </c>
      <c r="AB10" s="43">
        <f t="shared" si="6"/>
        <v>1145700</v>
      </c>
      <c r="AC10" s="43">
        <f t="shared" si="6"/>
        <v>1145700</v>
      </c>
      <c r="AD10" s="43">
        <f t="shared" si="6"/>
        <v>1145700</v>
      </c>
      <c r="AE10" s="43">
        <f t="shared" si="6"/>
        <v>1145700</v>
      </c>
      <c r="AF10" s="43">
        <f t="shared" si="6"/>
        <v>1145700</v>
      </c>
      <c r="AG10" s="43">
        <f t="shared" si="6"/>
        <v>0</v>
      </c>
      <c r="AH10" s="43">
        <f t="shared" si="6"/>
        <v>0</v>
      </c>
      <c r="AI10" s="43">
        <f t="shared" si="6"/>
        <v>0</v>
      </c>
      <c r="AJ10" s="43">
        <f t="shared" si="6"/>
        <v>0</v>
      </c>
      <c r="AK10" s="43">
        <f t="shared" si="6"/>
        <v>0</v>
      </c>
      <c r="AL10" s="43">
        <f t="shared" si="6"/>
        <v>0</v>
      </c>
      <c r="AM10" s="43">
        <f t="shared" si="6"/>
        <v>0</v>
      </c>
      <c r="AN10" s="43">
        <f t="shared" si="6"/>
        <v>0</v>
      </c>
      <c r="AO10" s="43">
        <f t="shared" si="6"/>
        <v>0</v>
      </c>
      <c r="AP10" s="43">
        <f t="shared" si="6"/>
        <v>0</v>
      </c>
    </row>
    <row r="11" spans="1:42" ht="13">
      <c r="B11" s="41" t="s">
        <v>180</v>
      </c>
      <c r="C11" s="41"/>
      <c r="D11" s="40" t="s">
        <v>15</v>
      </c>
      <c r="E11" s="41"/>
      <c r="F11" s="44"/>
      <c r="G11" s="45"/>
      <c r="H11" s="43">
        <f t="shared" ref="H11:AP11" si="7">IF(H3&lt;=n1_years, Annual_depreciation_n1yearsnet, Annual_depreciation_aftern1net)</f>
        <v>1145700</v>
      </c>
      <c r="I11" s="43">
        <f t="shared" si="7"/>
        <v>1145700</v>
      </c>
      <c r="J11" s="43">
        <f t="shared" si="7"/>
        <v>1145700</v>
      </c>
      <c r="K11" s="43">
        <f t="shared" si="7"/>
        <v>1145700</v>
      </c>
      <c r="L11" s="43">
        <f t="shared" si="7"/>
        <v>1145700</v>
      </c>
      <c r="M11" s="43">
        <f t="shared" si="7"/>
        <v>1145700</v>
      </c>
      <c r="N11" s="43">
        <f t="shared" si="7"/>
        <v>1145700</v>
      </c>
      <c r="O11" s="43">
        <f t="shared" si="7"/>
        <v>1145700</v>
      </c>
      <c r="P11" s="43">
        <f t="shared" si="7"/>
        <v>1145700</v>
      </c>
      <c r="Q11" s="43">
        <f t="shared" si="7"/>
        <v>1145700</v>
      </c>
      <c r="R11" s="43">
        <f t="shared" si="7"/>
        <v>1145700</v>
      </c>
      <c r="S11" s="43">
        <f t="shared" si="7"/>
        <v>1145700</v>
      </c>
      <c r="T11" s="43">
        <f t="shared" si="7"/>
        <v>1145700</v>
      </c>
      <c r="U11" s="43">
        <f t="shared" si="7"/>
        <v>1145700</v>
      </c>
      <c r="V11" s="43">
        <f t="shared" si="7"/>
        <v>1145700</v>
      </c>
      <c r="W11" s="43">
        <f t="shared" si="7"/>
        <v>1145700</v>
      </c>
      <c r="X11" s="43">
        <f t="shared" si="7"/>
        <v>1145700</v>
      </c>
      <c r="Y11" s="43">
        <f t="shared" si="7"/>
        <v>1145700</v>
      </c>
      <c r="Z11" s="43">
        <f t="shared" si="7"/>
        <v>1145700</v>
      </c>
      <c r="AA11" s="43">
        <f t="shared" si="7"/>
        <v>1145700</v>
      </c>
      <c r="AB11" s="43">
        <f t="shared" si="7"/>
        <v>1145700</v>
      </c>
      <c r="AC11" s="43">
        <f t="shared" si="7"/>
        <v>1145700</v>
      </c>
      <c r="AD11" s="43">
        <f t="shared" si="7"/>
        <v>1145700</v>
      </c>
      <c r="AE11" s="43">
        <f t="shared" si="7"/>
        <v>1145700</v>
      </c>
      <c r="AF11" s="43">
        <f t="shared" si="7"/>
        <v>1145700</v>
      </c>
      <c r="AG11" s="43">
        <f t="shared" si="7"/>
        <v>0</v>
      </c>
      <c r="AH11" s="43">
        <f t="shared" si="7"/>
        <v>0</v>
      </c>
      <c r="AI11" s="43">
        <f t="shared" si="7"/>
        <v>0</v>
      </c>
      <c r="AJ11" s="43">
        <f t="shared" si="7"/>
        <v>0</v>
      </c>
      <c r="AK11" s="43">
        <f t="shared" si="7"/>
        <v>0</v>
      </c>
      <c r="AL11" s="43">
        <f t="shared" si="7"/>
        <v>0</v>
      </c>
      <c r="AM11" s="43">
        <f t="shared" si="7"/>
        <v>0</v>
      </c>
      <c r="AN11" s="43">
        <f t="shared" si="7"/>
        <v>0</v>
      </c>
      <c r="AO11" s="43">
        <f t="shared" si="7"/>
        <v>0</v>
      </c>
      <c r="AP11" s="43">
        <f t="shared" si="7"/>
        <v>0</v>
      </c>
    </row>
    <row r="12" spans="1:42" ht="13">
      <c r="B12" s="41" t="s">
        <v>13</v>
      </c>
      <c r="C12" s="41"/>
      <c r="D12" s="40" t="s">
        <v>15</v>
      </c>
      <c r="E12" s="41"/>
      <c r="F12" s="41"/>
      <c r="G12" s="42"/>
      <c r="H12" s="43">
        <f t="shared" ref="H12:AF12" si="8">H27</f>
        <v>2473975</v>
      </c>
      <c r="I12" s="43">
        <f t="shared" si="8"/>
        <v>2473975</v>
      </c>
      <c r="J12" s="43">
        <f t="shared" si="8"/>
        <v>2199088.888888889</v>
      </c>
      <c r="K12" s="43">
        <f t="shared" si="8"/>
        <v>1924202.7777777775</v>
      </c>
      <c r="L12" s="43">
        <f t="shared" si="8"/>
        <v>1649316.6666666665</v>
      </c>
      <c r="M12" s="43">
        <f t="shared" si="8"/>
        <v>1374430.5555555553</v>
      </c>
      <c r="N12" s="43">
        <f t="shared" si="8"/>
        <v>1099544.4444444443</v>
      </c>
      <c r="O12" s="43">
        <f t="shared" si="8"/>
        <v>824658.33333333302</v>
      </c>
      <c r="P12" s="43">
        <f t="shared" si="8"/>
        <v>549772.2222222219</v>
      </c>
      <c r="Q12" s="43">
        <f t="shared" si="8"/>
        <v>274886.11111111077</v>
      </c>
      <c r="R12" s="43">
        <f t="shared" si="8"/>
        <v>0</v>
      </c>
      <c r="S12" s="43">
        <f t="shared" si="8"/>
        <v>0</v>
      </c>
      <c r="T12" s="43">
        <f t="shared" si="8"/>
        <v>0</v>
      </c>
      <c r="U12" s="43">
        <f t="shared" si="8"/>
        <v>0</v>
      </c>
      <c r="V12" s="43">
        <f t="shared" si="8"/>
        <v>0</v>
      </c>
      <c r="W12" s="43">
        <f t="shared" si="8"/>
        <v>0</v>
      </c>
      <c r="X12" s="43">
        <f t="shared" si="8"/>
        <v>0</v>
      </c>
      <c r="Y12" s="43">
        <f t="shared" si="8"/>
        <v>0</v>
      </c>
      <c r="Z12" s="43">
        <f t="shared" si="8"/>
        <v>0</v>
      </c>
      <c r="AA12" s="43">
        <f t="shared" si="8"/>
        <v>0</v>
      </c>
      <c r="AB12" s="43">
        <f t="shared" si="8"/>
        <v>0</v>
      </c>
      <c r="AC12" s="43">
        <f t="shared" si="8"/>
        <v>0</v>
      </c>
      <c r="AD12" s="43">
        <f t="shared" si="8"/>
        <v>0</v>
      </c>
      <c r="AE12" s="43">
        <f t="shared" si="8"/>
        <v>0</v>
      </c>
      <c r="AF12" s="43">
        <f t="shared" si="8"/>
        <v>0</v>
      </c>
      <c r="AG12" s="43">
        <f t="shared" ref="AG12:AP12" si="9">AG27</f>
        <v>0</v>
      </c>
      <c r="AH12" s="43">
        <f t="shared" si="9"/>
        <v>0</v>
      </c>
      <c r="AI12" s="43">
        <f t="shared" si="9"/>
        <v>0</v>
      </c>
      <c r="AJ12" s="43">
        <f t="shared" si="9"/>
        <v>0</v>
      </c>
      <c r="AK12" s="43">
        <f t="shared" si="9"/>
        <v>0</v>
      </c>
      <c r="AL12" s="43">
        <f t="shared" si="9"/>
        <v>0</v>
      </c>
      <c r="AM12" s="43">
        <f t="shared" si="9"/>
        <v>0</v>
      </c>
      <c r="AN12" s="43">
        <f t="shared" si="9"/>
        <v>0</v>
      </c>
      <c r="AO12" s="43">
        <f t="shared" si="9"/>
        <v>0</v>
      </c>
      <c r="AP12" s="43">
        <f t="shared" si="9"/>
        <v>0</v>
      </c>
    </row>
    <row r="13" spans="1:42" ht="13">
      <c r="B13" s="41" t="s">
        <v>8</v>
      </c>
      <c r="C13" s="41"/>
      <c r="D13" s="40" t="s">
        <v>15</v>
      </c>
      <c r="E13" s="41"/>
      <c r="F13" s="44"/>
      <c r="G13" s="45"/>
      <c r="H13" s="90">
        <f>H32+H36</f>
        <v>119614.47815625</v>
      </c>
      <c r="I13" s="90">
        <f t="shared" ref="I13:AP13" si="10">I32+I36</f>
        <v>120316.8809717875</v>
      </c>
      <c r="J13" s="90">
        <f t="shared" si="10"/>
        <v>115772.31894542987</v>
      </c>
      <c r="K13" s="90">
        <f t="shared" si="10"/>
        <v>111274.90042405399</v>
      </c>
      <c r="L13" s="90">
        <f t="shared" si="10"/>
        <v>106827.32201614488</v>
      </c>
      <c r="M13" s="90">
        <f t="shared" si="10"/>
        <v>102432.43457619281</v>
      </c>
      <c r="N13" s="90">
        <f t="shared" si="10"/>
        <v>98093.252027564944</v>
      </c>
      <c r="O13" s="90">
        <f t="shared" si="10"/>
        <v>93812.960690044987</v>
      </c>
      <c r="P13" s="90">
        <f t="shared" si="10"/>
        <v>89594.929140908323</v>
      </c>
      <c r="Q13" s="90">
        <f t="shared" si="10"/>
        <v>85442.718640050516</v>
      </c>
      <c r="R13" s="90">
        <f t="shared" si="10"/>
        <v>81360.094151433077</v>
      </c>
      <c r="S13" s="90">
        <f t="shared" si="10"/>
        <v>82642.593633845056</v>
      </c>
      <c r="T13" s="90">
        <f t="shared" si="10"/>
        <v>84002.867442595991</v>
      </c>
      <c r="U13" s="90">
        <f t="shared" si="10"/>
        <v>85445.364269152487</v>
      </c>
      <c r="V13" s="90">
        <f t="shared" si="10"/>
        <v>86974.787270132991</v>
      </c>
      <c r="W13" s="90">
        <f t="shared" si="10"/>
        <v>88596.108622714615</v>
      </c>
      <c r="X13" s="90">
        <f t="shared" si="10"/>
        <v>90314.584912608872</v>
      </c>
      <c r="Y13" s="90">
        <f t="shared" si="10"/>
        <v>92135.773402230116</v>
      </c>
      <c r="Z13" s="90">
        <f t="shared" si="10"/>
        <v>94065.549229402677</v>
      </c>
      <c r="AA13" s="90">
        <f t="shared" si="10"/>
        <v>96110.123589834504</v>
      </c>
      <c r="AB13" s="90">
        <f t="shared" si="10"/>
        <v>98276.062959628049</v>
      </c>
      <c r="AC13" s="90">
        <f t="shared" si="10"/>
        <v>100570.30941731877</v>
      </c>
      <c r="AD13" s="90">
        <f t="shared" si="10"/>
        <v>103000.20212833441</v>
      </c>
      <c r="AE13" s="90">
        <f t="shared" si="10"/>
        <v>105573.50005836511</v>
      </c>
      <c r="AF13" s="90">
        <f t="shared" si="10"/>
        <v>108298.40598593862</v>
      </c>
      <c r="AG13" s="90">
        <f t="shared" si="10"/>
        <v>89128.866888514298</v>
      </c>
      <c r="AH13" s="90">
        <f t="shared" si="10"/>
        <v>92260.692318162313</v>
      </c>
      <c r="AI13" s="90">
        <f t="shared" si="10"/>
        <v>95571.6581623862</v>
      </c>
      <c r="AJ13" s="90">
        <f t="shared" si="10"/>
        <v>99072.011252899712</v>
      </c>
      <c r="AK13" s="90">
        <f t="shared" si="10"/>
        <v>102772.58454019055</v>
      </c>
      <c r="AL13" s="90">
        <f t="shared" si="10"/>
        <v>106684.83061951447</v>
      </c>
      <c r="AM13" s="90">
        <f t="shared" si="10"/>
        <v>110820.85717457571</v>
      </c>
      <c r="AN13" s="90">
        <f t="shared" si="10"/>
        <v>115193.46444858643</v>
      </c>
      <c r="AO13" s="90">
        <f t="shared" si="10"/>
        <v>119816.18485867055</v>
      </c>
      <c r="AP13" s="90">
        <f t="shared" si="10"/>
        <v>124703.32487621153</v>
      </c>
    </row>
    <row r="14" spans="1:42" ht="13">
      <c r="B14" s="15" t="s">
        <v>9</v>
      </c>
      <c r="C14" s="15"/>
      <c r="D14" s="40" t="s">
        <v>15</v>
      </c>
      <c r="E14" s="41"/>
      <c r="F14" s="46"/>
      <c r="G14" s="47"/>
      <c r="H14" s="38">
        <f t="shared" ref="H14:AP14" si="11">Equity*ROE</f>
        <v>1768800</v>
      </c>
      <c r="I14" s="38">
        <f t="shared" si="11"/>
        <v>1768800</v>
      </c>
      <c r="J14" s="38">
        <f t="shared" si="11"/>
        <v>1768800</v>
      </c>
      <c r="K14" s="38">
        <f t="shared" si="11"/>
        <v>1768800</v>
      </c>
      <c r="L14" s="38">
        <f t="shared" si="11"/>
        <v>1768800</v>
      </c>
      <c r="M14" s="38">
        <f t="shared" si="11"/>
        <v>1768800</v>
      </c>
      <c r="N14" s="38">
        <f t="shared" si="11"/>
        <v>1768800</v>
      </c>
      <c r="O14" s="38">
        <f t="shared" si="11"/>
        <v>1768800</v>
      </c>
      <c r="P14" s="38">
        <f t="shared" si="11"/>
        <v>1768800</v>
      </c>
      <c r="Q14" s="38">
        <f t="shared" si="11"/>
        <v>1768800</v>
      </c>
      <c r="R14" s="38">
        <f t="shared" si="11"/>
        <v>1768800</v>
      </c>
      <c r="S14" s="38">
        <f t="shared" si="11"/>
        <v>1768800</v>
      </c>
      <c r="T14" s="38">
        <f t="shared" si="11"/>
        <v>1768800</v>
      </c>
      <c r="U14" s="38">
        <f t="shared" si="11"/>
        <v>1768800</v>
      </c>
      <c r="V14" s="38">
        <f t="shared" si="11"/>
        <v>1768800</v>
      </c>
      <c r="W14" s="38">
        <f t="shared" si="11"/>
        <v>1768800</v>
      </c>
      <c r="X14" s="38">
        <f t="shared" si="11"/>
        <v>1768800</v>
      </c>
      <c r="Y14" s="38">
        <f t="shared" si="11"/>
        <v>1768800</v>
      </c>
      <c r="Z14" s="38">
        <f t="shared" si="11"/>
        <v>1768800</v>
      </c>
      <c r="AA14" s="38">
        <f t="shared" si="11"/>
        <v>1768800</v>
      </c>
      <c r="AB14" s="38">
        <f t="shared" si="11"/>
        <v>1768800</v>
      </c>
      <c r="AC14" s="38">
        <f t="shared" si="11"/>
        <v>1768800</v>
      </c>
      <c r="AD14" s="38">
        <f t="shared" si="11"/>
        <v>1768800</v>
      </c>
      <c r="AE14" s="38">
        <f t="shared" si="11"/>
        <v>1768800</v>
      </c>
      <c r="AF14" s="38">
        <f t="shared" si="11"/>
        <v>1768800</v>
      </c>
      <c r="AG14" s="38">
        <f t="shared" si="11"/>
        <v>1768800</v>
      </c>
      <c r="AH14" s="38">
        <f t="shared" si="11"/>
        <v>1768800</v>
      </c>
      <c r="AI14" s="38">
        <f t="shared" si="11"/>
        <v>1768800</v>
      </c>
      <c r="AJ14" s="38">
        <f t="shared" si="11"/>
        <v>1768800</v>
      </c>
      <c r="AK14" s="38">
        <f t="shared" si="11"/>
        <v>1768800</v>
      </c>
      <c r="AL14" s="38">
        <f t="shared" si="11"/>
        <v>1768800</v>
      </c>
      <c r="AM14" s="38">
        <f t="shared" si="11"/>
        <v>1768800</v>
      </c>
      <c r="AN14" s="38">
        <f t="shared" si="11"/>
        <v>1768800</v>
      </c>
      <c r="AO14" s="38">
        <f t="shared" si="11"/>
        <v>1768800</v>
      </c>
      <c r="AP14" s="38">
        <f t="shared" si="11"/>
        <v>1768800</v>
      </c>
    </row>
    <row r="15" spans="1:42" ht="13">
      <c r="B15" s="15" t="s">
        <v>44</v>
      </c>
      <c r="D15" s="17" t="s">
        <v>15</v>
      </c>
      <c r="E15" s="41"/>
      <c r="F15" s="46"/>
      <c r="G15" s="47"/>
      <c r="H15" s="38">
        <f>IF(OR(Technology="Biomass",Technology="Bagasse"),(H6*'RE Inputs &amp; Results'!$F$44*'RE Inputs &amp; Results'!$F$45)/1000,0)</f>
        <v>0</v>
      </c>
      <c r="I15" s="38">
        <f t="shared" ref="I15:AP15" si="12">IF(OR(Technology="Biomass",Technology="Bagasse"),H15*(1+Bio_fuelcost_escalation),0)</f>
        <v>0</v>
      </c>
      <c r="J15" s="38">
        <f t="shared" si="12"/>
        <v>0</v>
      </c>
      <c r="K15" s="38">
        <f t="shared" si="12"/>
        <v>0</v>
      </c>
      <c r="L15" s="38">
        <f t="shared" si="12"/>
        <v>0</v>
      </c>
      <c r="M15" s="38">
        <f t="shared" si="12"/>
        <v>0</v>
      </c>
      <c r="N15" s="38">
        <f t="shared" si="12"/>
        <v>0</v>
      </c>
      <c r="O15" s="38">
        <f t="shared" si="12"/>
        <v>0</v>
      </c>
      <c r="P15" s="38">
        <f t="shared" si="12"/>
        <v>0</v>
      </c>
      <c r="Q15" s="38">
        <f t="shared" si="12"/>
        <v>0</v>
      </c>
      <c r="R15" s="38">
        <f t="shared" si="12"/>
        <v>0</v>
      </c>
      <c r="S15" s="38">
        <f t="shared" si="12"/>
        <v>0</v>
      </c>
      <c r="T15" s="38">
        <f t="shared" si="12"/>
        <v>0</v>
      </c>
      <c r="U15" s="38">
        <f t="shared" si="12"/>
        <v>0</v>
      </c>
      <c r="V15" s="38">
        <f t="shared" si="12"/>
        <v>0</v>
      </c>
      <c r="W15" s="38">
        <f t="shared" si="12"/>
        <v>0</v>
      </c>
      <c r="X15" s="38">
        <f t="shared" si="12"/>
        <v>0</v>
      </c>
      <c r="Y15" s="38">
        <f t="shared" si="12"/>
        <v>0</v>
      </c>
      <c r="Z15" s="38">
        <f t="shared" si="12"/>
        <v>0</v>
      </c>
      <c r="AA15" s="38">
        <f t="shared" si="12"/>
        <v>0</v>
      </c>
      <c r="AB15" s="38">
        <f t="shared" si="12"/>
        <v>0</v>
      </c>
      <c r="AC15" s="38">
        <f t="shared" si="12"/>
        <v>0</v>
      </c>
      <c r="AD15" s="38">
        <f t="shared" si="12"/>
        <v>0</v>
      </c>
      <c r="AE15" s="38">
        <f t="shared" si="12"/>
        <v>0</v>
      </c>
      <c r="AF15" s="38">
        <f t="shared" si="12"/>
        <v>0</v>
      </c>
      <c r="AG15" s="38">
        <f t="shared" si="12"/>
        <v>0</v>
      </c>
      <c r="AH15" s="38">
        <f t="shared" si="12"/>
        <v>0</v>
      </c>
      <c r="AI15" s="38">
        <f t="shared" si="12"/>
        <v>0</v>
      </c>
      <c r="AJ15" s="38">
        <f t="shared" si="12"/>
        <v>0</v>
      </c>
      <c r="AK15" s="38">
        <f t="shared" si="12"/>
        <v>0</v>
      </c>
      <c r="AL15" s="38">
        <f t="shared" si="12"/>
        <v>0</v>
      </c>
      <c r="AM15" s="38">
        <f t="shared" si="12"/>
        <v>0</v>
      </c>
      <c r="AN15" s="38">
        <f t="shared" si="12"/>
        <v>0</v>
      </c>
      <c r="AO15" s="38">
        <f t="shared" si="12"/>
        <v>0</v>
      </c>
      <c r="AP15" s="38">
        <f t="shared" si="12"/>
        <v>0</v>
      </c>
    </row>
    <row r="16" spans="1:42" s="23" customFormat="1" ht="13">
      <c r="B16" s="231" t="s">
        <v>55</v>
      </c>
      <c r="C16" s="15"/>
      <c r="D16" s="17" t="s">
        <v>15</v>
      </c>
      <c r="E16" s="15"/>
      <c r="F16" s="15"/>
      <c r="G16" s="37"/>
      <c r="H16" s="38">
        <f>SUM(H8, H9, H11:H15)</f>
        <v>6094339.47815625</v>
      </c>
      <c r="I16" s="38">
        <f>SUM(I8, I9, I11:I15)</f>
        <v>6117858.7309717871</v>
      </c>
      <c r="J16" s="38">
        <f t="shared" ref="J16:AP16" si="13">SUM(J8, J9, J11:J15)</f>
        <v>5862779.4007943189</v>
      </c>
      <c r="K16" s="38">
        <f t="shared" si="13"/>
        <v>5609369.4800791433</v>
      </c>
      <c r="L16" s="38">
        <f t="shared" si="13"/>
        <v>5357724.4590475056</v>
      </c>
      <c r="M16" s="38">
        <f t="shared" si="13"/>
        <v>5107945.2899613027</v>
      </c>
      <c r="N16" s="38">
        <f t="shared" si="13"/>
        <v>4860138.6995518152</v>
      </c>
      <c r="O16" s="38">
        <f t="shared" si="13"/>
        <v>4614417.519319348</v>
      </c>
      <c r="P16" s="38">
        <f t="shared" si="13"/>
        <v>4370901.0347260293</v>
      </c>
      <c r="Q16" s="38">
        <f t="shared" si="13"/>
        <v>4129715.3543624184</v>
      </c>
      <c r="R16" s="38">
        <f t="shared" si="13"/>
        <v>3890993.8002304547</v>
      </c>
      <c r="S16" s="38">
        <f t="shared" si="13"/>
        <v>3935054.9891005866</v>
      </c>
      <c r="T16" s="38">
        <f t="shared" si="13"/>
        <v>3981870.2624700349</v>
      </c>
      <c r="U16" s="38">
        <f t="shared" si="13"/>
        <v>4031597.153972161</v>
      </c>
      <c r="V16" s="38">
        <f t="shared" si="13"/>
        <v>4084402.2081641536</v>
      </c>
      <c r="W16" s="38">
        <f t="shared" si="13"/>
        <v>4140461.4959518733</v>
      </c>
      <c r="X16" s="38">
        <f t="shared" si="13"/>
        <v>4199961.1594969956</v>
      </c>
      <c r="Y16" s="38">
        <f t="shared" si="13"/>
        <v>4263097.988292844</v>
      </c>
      <c r="Z16" s="38">
        <f t="shared" si="13"/>
        <v>4330080.0281917593</v>
      </c>
      <c r="AA16" s="38">
        <f t="shared" si="13"/>
        <v>4401127.2252688389</v>
      </c>
      <c r="AB16" s="38">
        <f t="shared" si="13"/>
        <v>4476472.1065146709</v>
      </c>
      <c r="AC16" s="38">
        <f t="shared" si="13"/>
        <v>4556360.49946371</v>
      </c>
      <c r="AD16" s="38">
        <f t="shared" si="13"/>
        <v>4641052.2929853797</v>
      </c>
      <c r="AE16" s="38">
        <f t="shared" si="13"/>
        <v>4730822.2415924324</v>
      </c>
      <c r="AF16" s="38">
        <f t="shared" si="13"/>
        <v>4825960.8157557547</v>
      </c>
      <c r="AG16" s="38">
        <f t="shared" si="13"/>
        <v>3759020.3758571642</v>
      </c>
      <c r="AH16" s="38">
        <f t="shared" si="13"/>
        <v>3869922.164099819</v>
      </c>
      <c r="AI16" s="38">
        <f t="shared" si="13"/>
        <v>3987167.5346299536</v>
      </c>
      <c r="AJ16" s="38">
        <f t="shared" si="13"/>
        <v>4111119.3403544119</v>
      </c>
      <c r="AK16" s="38">
        <f t="shared" si="13"/>
        <v>4242161.189366309</v>
      </c>
      <c r="AL16" s="38">
        <f t="shared" si="13"/>
        <v>4380698.632141687</v>
      </c>
      <c r="AM16" s="38">
        <f t="shared" si="13"/>
        <v>4527160.416643817</v>
      </c>
      <c r="AN16" s="38">
        <f t="shared" si="13"/>
        <v>4681999.8152194684</v>
      </c>
      <c r="AO16" s="38">
        <f t="shared" si="13"/>
        <v>4845696.0273936465</v>
      </c>
      <c r="AP16" s="38">
        <f t="shared" si="13"/>
        <v>5018755.662904188</v>
      </c>
    </row>
    <row r="17" spans="2:42" s="51" customFormat="1" ht="13">
      <c r="B17" s="231" t="s">
        <v>56</v>
      </c>
      <c r="C17" s="41"/>
      <c r="D17" s="48" t="s">
        <v>15</v>
      </c>
      <c r="E17" s="49"/>
      <c r="F17" s="41"/>
      <c r="G17" s="42"/>
      <c r="H17" s="50">
        <f t="shared" ref="H17:AP17" si="14">H16/H7</f>
        <v>3.8542983582870072</v>
      </c>
      <c r="I17" s="50">
        <f t="shared" si="14"/>
        <v>3.9082554066013269</v>
      </c>
      <c r="J17" s="50">
        <f t="shared" si="14"/>
        <v>3.7831351082395415</v>
      </c>
      <c r="K17" s="50">
        <f t="shared" si="14"/>
        <v>3.6561764841501736</v>
      </c>
      <c r="L17" s="50">
        <f t="shared" si="14"/>
        <v>3.5274290226419631</v>
      </c>
      <c r="M17" s="50">
        <f t="shared" si="14"/>
        <v>3.3969484128885097</v>
      </c>
      <c r="N17" s="50">
        <f t="shared" si="14"/>
        <v>3.2647970054616975</v>
      </c>
      <c r="O17" s="50">
        <f t="shared" si="14"/>
        <v>3.1310443046361667</v>
      </c>
      <c r="P17" s="50">
        <f t="shared" si="14"/>
        <v>2.9957674946276884</v>
      </c>
      <c r="Q17" s="50">
        <f t="shared" si="14"/>
        <v>2.8590520020751637</v>
      </c>
      <c r="R17" s="50">
        <f t="shared" si="14"/>
        <v>2.7209920972328612</v>
      </c>
      <c r="S17" s="50">
        <f t="shared" si="14"/>
        <v>2.7796003177682822</v>
      </c>
      <c r="T17" s="50">
        <f t="shared" si="14"/>
        <v>2.84107996886936</v>
      </c>
      <c r="U17" s="50">
        <f t="shared" si="14"/>
        <v>2.9056164646284905</v>
      </c>
      <c r="V17" s="50">
        <f t="shared" si="14"/>
        <v>2.9734077259307736</v>
      </c>
      <c r="W17" s="50">
        <f t="shared" si="14"/>
        <v>3.0446650287749728</v>
      </c>
      <c r="X17" s="50">
        <f t="shared" si="14"/>
        <v>3.1196139101728995</v>
      </c>
      <c r="Y17" s="50">
        <f t="shared" si="14"/>
        <v>3.1984951355355413</v>
      </c>
      <c r="Z17" s="50">
        <f t="shared" si="14"/>
        <v>3.2815657317195592</v>
      </c>
      <c r="AA17" s="50">
        <f t="shared" si="14"/>
        <v>3.3691000901910604</v>
      </c>
      <c r="AB17" s="50">
        <f t="shared" si="14"/>
        <v>3.4613911450660995</v>
      </c>
      <c r="AC17" s="50">
        <f t="shared" si="14"/>
        <v>3.5587516311104306</v>
      </c>
      <c r="AD17" s="50">
        <f t="shared" si="14"/>
        <v>3.6615154271259924</v>
      </c>
      <c r="AE17" s="50">
        <f t="shared" si="14"/>
        <v>3.7700389905200642</v>
      </c>
      <c r="AF17" s="50">
        <f t="shared" si="14"/>
        <v>3.8847028892464452</v>
      </c>
      <c r="AG17" s="50">
        <f t="shared" si="14"/>
        <v>3.0564233049160294</v>
      </c>
      <c r="AH17" s="50">
        <f t="shared" si="14"/>
        <v>3.1783802848826896</v>
      </c>
      <c r="AI17" s="50">
        <f t="shared" si="14"/>
        <v>3.3077518262247074</v>
      </c>
      <c r="AJ17" s="50">
        <f t="shared" si="14"/>
        <v>3.4450324958293996</v>
      </c>
      <c r="AK17" s="50">
        <f t="shared" si="14"/>
        <v>3.5907503430581347</v>
      </c>
      <c r="AL17" s="50">
        <f t="shared" si="14"/>
        <v>3.7454691716059187</v>
      </c>
      <c r="AM17" s="50">
        <f t="shared" si="14"/>
        <v>3.9097909655630656</v>
      </c>
      <c r="AN17" s="50">
        <f t="shared" si="14"/>
        <v>4.084358480145899</v>
      </c>
      <c r="AO17" s="50">
        <f t="shared" si="14"/>
        <v>4.2698580082739621</v>
      </c>
      <c r="AP17" s="50">
        <f t="shared" si="14"/>
        <v>4.4670223349298421</v>
      </c>
    </row>
    <row r="18" spans="2:42" s="51" customFormat="1" ht="13">
      <c r="B18" s="41" t="s">
        <v>34</v>
      </c>
      <c r="C18" s="41"/>
      <c r="D18" s="48"/>
      <c r="E18" s="49"/>
      <c r="F18" s="52"/>
      <c r="G18" s="53"/>
      <c r="H18" s="50">
        <v>1</v>
      </c>
      <c r="I18" s="54">
        <f t="shared" ref="I18:AP18" si="15">H18/(1+Discount_rate)</f>
        <v>0.9129918743723181</v>
      </c>
      <c r="J18" s="54">
        <f t="shared" si="15"/>
        <v>0.8335541626698787</v>
      </c>
      <c r="K18" s="54">
        <f t="shared" si="15"/>
        <v>0.76102817736682071</v>
      </c>
      <c r="L18" s="54">
        <f t="shared" si="15"/>
        <v>0.69481254210428267</v>
      </c>
      <c r="M18" s="54">
        <f t="shared" si="15"/>
        <v>0.6343582051531842</v>
      </c>
      <c r="N18" s="54">
        <f t="shared" si="15"/>
        <v>0.57916388674626518</v>
      </c>
      <c r="O18" s="54">
        <f t="shared" si="15"/>
        <v>0.52877192252922967</v>
      </c>
      <c r="P18" s="54">
        <f t="shared" si="15"/>
        <v>0.48276446866541561</v>
      </c>
      <c r="Q18" s="54">
        <f t="shared" si="15"/>
        <v>0.44076003712719403</v>
      </c>
      <c r="R18" s="54">
        <f t="shared" si="15"/>
        <v>0.40241033244516938</v>
      </c>
      <c r="S18" s="54">
        <f t="shared" si="15"/>
        <v>0.36739736368590287</v>
      </c>
      <c r="T18" s="54">
        <f t="shared" si="15"/>
        <v>0.33543080771104072</v>
      </c>
      <c r="U18" s="54">
        <f t="shared" si="15"/>
        <v>0.3062456018543237</v>
      </c>
      <c r="V18" s="54">
        <f t="shared" si="15"/>
        <v>0.27959974605525767</v>
      </c>
      <c r="W18" s="54">
        <f t="shared" si="15"/>
        <v>0.25527229622501385</v>
      </c>
      <c r="X18" s="54">
        <f t="shared" si="15"/>
        <v>0.23306153220580103</v>
      </c>
      <c r="Y18" s="54">
        <f t="shared" si="15"/>
        <v>0.21278328513265868</v>
      </c>
      <c r="Z18" s="54">
        <f t="shared" si="15"/>
        <v>0.19426941032836545</v>
      </c>
      <c r="AA18" s="54">
        <f t="shared" si="15"/>
        <v>0.17736639306889934</v>
      </c>
      <c r="AB18" s="54">
        <f t="shared" si="15"/>
        <v>0.16193407565863174</v>
      </c>
      <c r="AC18" s="54">
        <f t="shared" si="15"/>
        <v>0.14784449526032298</v>
      </c>
      <c r="AD18" s="54">
        <f t="shared" si="15"/>
        <v>0.13498082284335158</v>
      </c>
      <c r="AE18" s="54">
        <f t="shared" si="15"/>
        <v>0.12323639445206938</v>
      </c>
      <c r="AF18" s="54">
        <f t="shared" si="15"/>
        <v>0.11251382676168117</v>
      </c>
      <c r="AG18" s="54">
        <f t="shared" si="15"/>
        <v>0.10272420958794959</v>
      </c>
      <c r="AH18" s="54">
        <f t="shared" si="15"/>
        <v>9.3786368655116956E-2</v>
      </c>
      <c r="AI18" s="54">
        <f t="shared" si="15"/>
        <v>8.562619250900845E-2</v>
      </c>
      <c r="AJ18" s="54">
        <f t="shared" si="15"/>
        <v>7.8176017994164571E-2</v>
      </c>
      <c r="AK18" s="54">
        <f t="shared" si="15"/>
        <v>7.137406919945638E-2</v>
      </c>
      <c r="AL18" s="54">
        <f t="shared" si="15"/>
        <v>6.5163945219991221E-2</v>
      </c>
      <c r="AM18" s="54">
        <f t="shared" si="15"/>
        <v>5.9494152487894844E-2</v>
      </c>
      <c r="AN18" s="54">
        <f t="shared" si="15"/>
        <v>5.4317677794115629E-2</v>
      </c>
      <c r="AO18" s="54">
        <f t="shared" si="15"/>
        <v>4.9591598460801273E-2</v>
      </c>
      <c r="AP18" s="54">
        <f t="shared" si="15"/>
        <v>4.5276726431846319E-2</v>
      </c>
    </row>
    <row r="19" spans="2:42" s="51" customFormat="1" ht="13">
      <c r="B19" s="41" t="s">
        <v>57</v>
      </c>
      <c r="C19" s="41"/>
      <c r="D19" s="48" t="s">
        <v>15</v>
      </c>
      <c r="E19" s="49"/>
      <c r="F19" s="52"/>
      <c r="G19" s="53"/>
      <c r="H19" s="50">
        <f>H17*H18</f>
        <v>3.8542983582870072</v>
      </c>
      <c r="I19" s="50">
        <f t="shared" ref="I19:AF19" si="16">I17*I18</f>
        <v>3.5682054291986915</v>
      </c>
      <c r="J19" s="50">
        <f t="shared" si="16"/>
        <v>3.1534480174156321</v>
      </c>
      <c r="K19" s="50">
        <f t="shared" si="16"/>
        <v>2.7824533258642372</v>
      </c>
      <c r="L19" s="50">
        <f t="shared" si="16"/>
        <v>2.4509019263142875</v>
      </c>
      <c r="M19" s="50">
        <f t="shared" si="16"/>
        <v>2.1548820981979127</v>
      </c>
      <c r="N19" s="50">
        <f t="shared" si="16"/>
        <v>1.8908525231207642</v>
      </c>
      <c r="O19" s="50">
        <f t="shared" si="16"/>
        <v>1.6556083164866608</v>
      </c>
      <c r="P19" s="50">
        <f t="shared" si="16"/>
        <v>1.4462501027890593</v>
      </c>
      <c r="Q19" s="50">
        <f t="shared" si="16"/>
        <v>1.2601558665832275</v>
      </c>
      <c r="R19" s="50">
        <f t="shared" si="16"/>
        <v>1.0949553344281544</v>
      </c>
      <c r="S19" s="50">
        <f t="shared" si="16"/>
        <v>1.0212178288485647</v>
      </c>
      <c r="T19" s="50">
        <f t="shared" si="16"/>
        <v>0.95298574872950781</v>
      </c>
      <c r="U19" s="50">
        <f t="shared" si="16"/>
        <v>0.88983226296798434</v>
      </c>
      <c r="V19" s="50">
        <f t="shared" si="16"/>
        <v>0.83136404508898554</v>
      </c>
      <c r="W19" s="50">
        <f t="shared" si="16"/>
        <v>0.77721863313138517</v>
      </c>
      <c r="X19" s="50">
        <f t="shared" si="16"/>
        <v>0.72706199779542613</v>
      </c>
      <c r="Y19" s="50">
        <f t="shared" si="16"/>
        <v>0.68058630242008089</v>
      </c>
      <c r="Z19" s="50">
        <f t="shared" si="16"/>
        <v>0.63750783965492985</v>
      </c>
      <c r="AA19" s="50">
        <f t="shared" si="16"/>
        <v>0.59756513088529184</v>
      </c>
      <c r="AB19" s="50">
        <f t="shared" si="16"/>
        <v>0.56051717556925174</v>
      </c>
      <c r="AC19" s="50">
        <f t="shared" si="16"/>
        <v>0.52614183865837272</v>
      </c>
      <c r="AD19" s="50">
        <f t="shared" si="16"/>
        <v>0.49423436520709241</v>
      </c>
      <c r="AE19" s="50">
        <f t="shared" si="16"/>
        <v>0.46460601213541208</v>
      </c>
      <c r="AF19" s="50">
        <f t="shared" si="16"/>
        <v>0.43708278790127686</v>
      </c>
      <c r="AG19" s="50">
        <f t="shared" ref="AG19:AP19" si="17">AG17*AG18</f>
        <v>0.31396866816368774</v>
      </c>
      <c r="AH19" s="50">
        <f t="shared" si="17"/>
        <v>0.29808874512416356</v>
      </c>
      <c r="AI19" s="50">
        <f t="shared" si="17"/>
        <v>0.28323019464434107</v>
      </c>
      <c r="AJ19" s="50">
        <f t="shared" si="17"/>
        <v>0.26931892238444083</v>
      </c>
      <c r="AK19" s="50">
        <f t="shared" si="17"/>
        <v>0.25628646346340306</v>
      </c>
      <c r="AL19" s="50">
        <f t="shared" si="17"/>
        <v>0.244069547921694</v>
      </c>
      <c r="AM19" s="50">
        <f t="shared" si="17"/>
        <v>0.23260969990100264</v>
      </c>
      <c r="AN19" s="50">
        <f t="shared" si="17"/>
        <v>0.22185286792022876</v>
      </c>
      <c r="AO19" s="50">
        <f t="shared" si="17"/>
        <v>0.211749083830959</v>
      </c>
      <c r="AP19" s="50">
        <f t="shared" si="17"/>
        <v>0.20225214822356585</v>
      </c>
    </row>
    <row r="20" spans="2:42" s="51" customFormat="1" ht="13">
      <c r="B20" s="231" t="s">
        <v>58</v>
      </c>
      <c r="C20" s="41"/>
      <c r="D20" s="233" t="s">
        <v>15</v>
      </c>
      <c r="E20" s="49"/>
      <c r="F20" s="232">
        <f ca="1">SUM(OFFSET(H19,0,0,1,'RE Inputs &amp; Results'!F16))/SUM(OFFSET(H18,0,0,1,'RE Inputs &amp; Results'!F16))</f>
        <v>3.3851886921114334</v>
      </c>
      <c r="G20" s="56"/>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row>
    <row r="21" spans="2:42" s="51" customFormat="1" ht="13">
      <c r="B21" s="231" t="s">
        <v>27</v>
      </c>
      <c r="C21" s="41"/>
      <c r="D21" s="233" t="s">
        <v>15</v>
      </c>
      <c r="E21" s="49"/>
      <c r="F21" s="232">
        <f ca="1">AVERAGE(OFFSET(H17,0,0,1,'RE Inputs &amp; Results'!F16))</f>
        <v>3.3178976061400829</v>
      </c>
      <c r="G21" s="56"/>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row>
    <row r="22" spans="2:42" ht="13">
      <c r="B22" s="41"/>
      <c r="C22" s="41"/>
      <c r="D22" s="48"/>
      <c r="E22" s="49"/>
      <c r="F22" s="41"/>
      <c r="G22" s="42"/>
      <c r="H22" s="57"/>
      <c r="I22" s="58"/>
      <c r="J22" s="50"/>
      <c r="K22" s="57"/>
      <c r="L22" s="57"/>
      <c r="M22" s="57"/>
      <c r="N22" s="57"/>
      <c r="O22" s="57"/>
      <c r="P22" s="57"/>
      <c r="Q22" s="57"/>
      <c r="R22" s="57"/>
      <c r="S22" s="57"/>
      <c r="T22" s="57"/>
      <c r="U22" s="57"/>
      <c r="V22" s="57"/>
      <c r="W22" s="57"/>
      <c r="X22" s="57"/>
      <c r="Y22" s="57"/>
      <c r="Z22" s="57"/>
      <c r="AA22" s="57"/>
      <c r="AB22" s="57"/>
      <c r="AC22" s="57"/>
      <c r="AD22" s="57"/>
      <c r="AE22" s="57"/>
      <c r="AF22" s="57"/>
    </row>
    <row r="23" spans="2:42" ht="14.5">
      <c r="B23" s="205" t="s">
        <v>2</v>
      </c>
      <c r="C23" s="59"/>
      <c r="D23" s="60"/>
      <c r="E23" s="49"/>
      <c r="F23" s="22"/>
      <c r="G23" s="42"/>
      <c r="H23" s="61"/>
      <c r="I23" s="61"/>
      <c r="J23" s="61"/>
      <c r="K23" s="61"/>
      <c r="L23" s="61"/>
      <c r="M23" s="61"/>
      <c r="N23" s="61"/>
      <c r="O23" s="61"/>
      <c r="P23" s="61"/>
      <c r="Q23" s="61"/>
      <c r="R23" s="61"/>
      <c r="S23" s="61"/>
      <c r="T23" s="61"/>
      <c r="U23" s="61"/>
      <c r="V23" s="61"/>
      <c r="W23" s="61"/>
      <c r="X23" s="61"/>
      <c r="Y23" s="61"/>
      <c r="Z23" s="61"/>
      <c r="AA23" s="61"/>
      <c r="AB23" s="61"/>
      <c r="AC23" s="61"/>
      <c r="AD23" s="61"/>
      <c r="AE23" s="61"/>
      <c r="AF23" s="61"/>
      <c r="AG23" s="18"/>
      <c r="AH23" s="18"/>
      <c r="AI23" s="18"/>
      <c r="AJ23" s="18"/>
      <c r="AK23" s="18"/>
      <c r="AL23" s="18"/>
      <c r="AM23" s="18"/>
      <c r="AN23" s="18"/>
      <c r="AO23" s="18"/>
      <c r="AP23" s="18"/>
    </row>
    <row r="24" spans="2:42" ht="13">
      <c r="B24" s="41" t="s">
        <v>4</v>
      </c>
      <c r="C24" s="41"/>
      <c r="D24" s="40" t="s">
        <v>15</v>
      </c>
      <c r="E24" s="41"/>
      <c r="F24" s="41"/>
      <c r="G24" s="42"/>
      <c r="H24" s="43">
        <f>Debt</f>
        <v>23450000</v>
      </c>
      <c r="I24" s="43">
        <f>H26</f>
        <v>23450000</v>
      </c>
      <c r="J24" s="43">
        <f>I26</f>
        <v>20844444.444444444</v>
      </c>
      <c r="K24" s="43">
        <f t="shared" ref="K24:AF24" si="18">J26</f>
        <v>18238888.888888888</v>
      </c>
      <c r="L24" s="43">
        <f t="shared" si="18"/>
        <v>15633333.333333332</v>
      </c>
      <c r="M24" s="43">
        <f t="shared" si="18"/>
        <v>13027777.777777776</v>
      </c>
      <c r="N24" s="43">
        <f t="shared" si="18"/>
        <v>10422222.22222222</v>
      </c>
      <c r="O24" s="43">
        <f t="shared" si="18"/>
        <v>7816666.6666666642</v>
      </c>
      <c r="P24" s="43">
        <f t="shared" si="18"/>
        <v>5211111.1111111082</v>
      </c>
      <c r="Q24" s="43">
        <f t="shared" si="18"/>
        <v>2605555.5555555527</v>
      </c>
      <c r="R24" s="43">
        <f t="shared" si="18"/>
        <v>0</v>
      </c>
      <c r="S24" s="43">
        <f t="shared" si="18"/>
        <v>0</v>
      </c>
      <c r="T24" s="43">
        <f t="shared" si="18"/>
        <v>0</v>
      </c>
      <c r="U24" s="43">
        <f t="shared" si="18"/>
        <v>0</v>
      </c>
      <c r="V24" s="43">
        <f t="shared" si="18"/>
        <v>0</v>
      </c>
      <c r="W24" s="43">
        <f t="shared" si="18"/>
        <v>0</v>
      </c>
      <c r="X24" s="43">
        <f t="shared" si="18"/>
        <v>0</v>
      </c>
      <c r="Y24" s="43">
        <f t="shared" si="18"/>
        <v>0</v>
      </c>
      <c r="Z24" s="43">
        <f t="shared" si="18"/>
        <v>0</v>
      </c>
      <c r="AA24" s="43">
        <f t="shared" si="18"/>
        <v>0</v>
      </c>
      <c r="AB24" s="43">
        <f t="shared" si="18"/>
        <v>0</v>
      </c>
      <c r="AC24" s="43">
        <f t="shared" si="18"/>
        <v>0</v>
      </c>
      <c r="AD24" s="43">
        <f t="shared" si="18"/>
        <v>0</v>
      </c>
      <c r="AE24" s="43">
        <f t="shared" si="18"/>
        <v>0</v>
      </c>
      <c r="AF24" s="43">
        <f t="shared" si="18"/>
        <v>0</v>
      </c>
      <c r="AG24" s="43">
        <f t="shared" ref="AG24:AP24" si="19">AF26</f>
        <v>0</v>
      </c>
      <c r="AH24" s="43">
        <f t="shared" si="19"/>
        <v>0</v>
      </c>
      <c r="AI24" s="43">
        <f t="shared" si="19"/>
        <v>0</v>
      </c>
      <c r="AJ24" s="43">
        <f t="shared" si="19"/>
        <v>0</v>
      </c>
      <c r="AK24" s="43">
        <f t="shared" si="19"/>
        <v>0</v>
      </c>
      <c r="AL24" s="43">
        <f t="shared" si="19"/>
        <v>0</v>
      </c>
      <c r="AM24" s="43">
        <f t="shared" si="19"/>
        <v>0</v>
      </c>
      <c r="AN24" s="43">
        <f t="shared" si="19"/>
        <v>0</v>
      </c>
      <c r="AO24" s="43">
        <f t="shared" si="19"/>
        <v>0</v>
      </c>
      <c r="AP24" s="43">
        <f t="shared" si="19"/>
        <v>0</v>
      </c>
    </row>
    <row r="25" spans="2:42" ht="13">
      <c r="B25" s="41" t="s">
        <v>5</v>
      </c>
      <c r="C25" s="41"/>
      <c r="D25" s="40" t="s">
        <v>15</v>
      </c>
      <c r="E25" s="41"/>
      <c r="F25" s="41"/>
      <c r="G25" s="42"/>
      <c r="H25" s="43">
        <f t="shared" ref="H25:AP25" si="20">IF(H3&gt;Moratorium, IF(H24&gt;0.001, Debt/(Loan_tenure-Moratorium), 0), 0)</f>
        <v>0</v>
      </c>
      <c r="I25" s="43">
        <f t="shared" si="20"/>
        <v>2605555.5555555555</v>
      </c>
      <c r="J25" s="43">
        <f t="shared" si="20"/>
        <v>2605555.5555555555</v>
      </c>
      <c r="K25" s="43">
        <f t="shared" si="20"/>
        <v>2605555.5555555555</v>
      </c>
      <c r="L25" s="43">
        <f t="shared" si="20"/>
        <v>2605555.5555555555</v>
      </c>
      <c r="M25" s="43">
        <f t="shared" si="20"/>
        <v>2605555.5555555555</v>
      </c>
      <c r="N25" s="43">
        <f t="shared" si="20"/>
        <v>2605555.5555555555</v>
      </c>
      <c r="O25" s="43">
        <f t="shared" si="20"/>
        <v>2605555.5555555555</v>
      </c>
      <c r="P25" s="43">
        <f t="shared" si="20"/>
        <v>2605555.5555555555</v>
      </c>
      <c r="Q25" s="43">
        <f t="shared" si="20"/>
        <v>2605555.5555555555</v>
      </c>
      <c r="R25" s="43">
        <f t="shared" si="20"/>
        <v>0</v>
      </c>
      <c r="S25" s="43">
        <f t="shared" si="20"/>
        <v>0</v>
      </c>
      <c r="T25" s="43">
        <f t="shared" si="20"/>
        <v>0</v>
      </c>
      <c r="U25" s="43">
        <f t="shared" si="20"/>
        <v>0</v>
      </c>
      <c r="V25" s="43">
        <f t="shared" si="20"/>
        <v>0</v>
      </c>
      <c r="W25" s="43">
        <f t="shared" si="20"/>
        <v>0</v>
      </c>
      <c r="X25" s="43">
        <f t="shared" si="20"/>
        <v>0</v>
      </c>
      <c r="Y25" s="43">
        <f t="shared" si="20"/>
        <v>0</v>
      </c>
      <c r="Z25" s="43">
        <f t="shared" si="20"/>
        <v>0</v>
      </c>
      <c r="AA25" s="43">
        <f t="shared" si="20"/>
        <v>0</v>
      </c>
      <c r="AB25" s="43">
        <f t="shared" si="20"/>
        <v>0</v>
      </c>
      <c r="AC25" s="43">
        <f t="shared" si="20"/>
        <v>0</v>
      </c>
      <c r="AD25" s="43">
        <f t="shared" si="20"/>
        <v>0</v>
      </c>
      <c r="AE25" s="43">
        <f t="shared" si="20"/>
        <v>0</v>
      </c>
      <c r="AF25" s="43">
        <f t="shared" si="20"/>
        <v>0</v>
      </c>
      <c r="AG25" s="43">
        <f t="shared" si="20"/>
        <v>0</v>
      </c>
      <c r="AH25" s="43">
        <f t="shared" si="20"/>
        <v>0</v>
      </c>
      <c r="AI25" s="43">
        <f t="shared" si="20"/>
        <v>0</v>
      </c>
      <c r="AJ25" s="43">
        <f t="shared" si="20"/>
        <v>0</v>
      </c>
      <c r="AK25" s="43">
        <f t="shared" si="20"/>
        <v>0</v>
      </c>
      <c r="AL25" s="43">
        <f t="shared" si="20"/>
        <v>0</v>
      </c>
      <c r="AM25" s="43">
        <f t="shared" si="20"/>
        <v>0</v>
      </c>
      <c r="AN25" s="43">
        <f t="shared" si="20"/>
        <v>0</v>
      </c>
      <c r="AO25" s="43">
        <f t="shared" si="20"/>
        <v>0</v>
      </c>
      <c r="AP25" s="43">
        <f t="shared" si="20"/>
        <v>0</v>
      </c>
    </row>
    <row r="26" spans="2:42" ht="13">
      <c r="B26" s="41" t="s">
        <v>6</v>
      </c>
      <c r="C26" s="41"/>
      <c r="D26" s="40" t="s">
        <v>15</v>
      </c>
      <c r="E26" s="41"/>
      <c r="F26" s="41"/>
      <c r="G26" s="42"/>
      <c r="H26" s="43">
        <f>H24-H25</f>
        <v>23450000</v>
      </c>
      <c r="I26" s="43">
        <f>I24-I25</f>
        <v>20844444.444444444</v>
      </c>
      <c r="J26" s="43">
        <f>J24-J25</f>
        <v>18238888.888888888</v>
      </c>
      <c r="K26" s="43">
        <f t="shared" ref="K26:AF26" si="21">K24-K25</f>
        <v>15633333.333333332</v>
      </c>
      <c r="L26" s="43">
        <f t="shared" si="21"/>
        <v>13027777.777777776</v>
      </c>
      <c r="M26" s="43">
        <f t="shared" si="21"/>
        <v>10422222.22222222</v>
      </c>
      <c r="N26" s="43">
        <f t="shared" si="21"/>
        <v>7816666.6666666642</v>
      </c>
      <c r="O26" s="43">
        <f t="shared" si="21"/>
        <v>5211111.1111111082</v>
      </c>
      <c r="P26" s="43">
        <f t="shared" si="21"/>
        <v>2605555.5555555527</v>
      </c>
      <c r="Q26" s="43">
        <f t="shared" si="21"/>
        <v>0</v>
      </c>
      <c r="R26" s="43">
        <f t="shared" si="21"/>
        <v>0</v>
      </c>
      <c r="S26" s="43">
        <f t="shared" si="21"/>
        <v>0</v>
      </c>
      <c r="T26" s="43">
        <f t="shared" si="21"/>
        <v>0</v>
      </c>
      <c r="U26" s="43">
        <f t="shared" si="21"/>
        <v>0</v>
      </c>
      <c r="V26" s="43">
        <f t="shared" si="21"/>
        <v>0</v>
      </c>
      <c r="W26" s="43">
        <f t="shared" si="21"/>
        <v>0</v>
      </c>
      <c r="X26" s="43">
        <f t="shared" si="21"/>
        <v>0</v>
      </c>
      <c r="Y26" s="43">
        <f t="shared" si="21"/>
        <v>0</v>
      </c>
      <c r="Z26" s="43">
        <f t="shared" si="21"/>
        <v>0</v>
      </c>
      <c r="AA26" s="43">
        <f t="shared" si="21"/>
        <v>0</v>
      </c>
      <c r="AB26" s="43">
        <f t="shared" si="21"/>
        <v>0</v>
      </c>
      <c r="AC26" s="43">
        <f t="shared" si="21"/>
        <v>0</v>
      </c>
      <c r="AD26" s="43">
        <f t="shared" si="21"/>
        <v>0</v>
      </c>
      <c r="AE26" s="43">
        <f t="shared" si="21"/>
        <v>0</v>
      </c>
      <c r="AF26" s="43">
        <f t="shared" si="21"/>
        <v>0</v>
      </c>
      <c r="AG26" s="43">
        <f t="shared" ref="AG26:AP26" si="22">AG24-AG25</f>
        <v>0</v>
      </c>
      <c r="AH26" s="43">
        <f t="shared" si="22"/>
        <v>0</v>
      </c>
      <c r="AI26" s="43">
        <f t="shared" si="22"/>
        <v>0</v>
      </c>
      <c r="AJ26" s="43">
        <f t="shared" si="22"/>
        <v>0</v>
      </c>
      <c r="AK26" s="43">
        <f t="shared" si="22"/>
        <v>0</v>
      </c>
      <c r="AL26" s="43">
        <f t="shared" si="22"/>
        <v>0</v>
      </c>
      <c r="AM26" s="43">
        <f t="shared" si="22"/>
        <v>0</v>
      </c>
      <c r="AN26" s="43">
        <f t="shared" si="22"/>
        <v>0</v>
      </c>
      <c r="AO26" s="43">
        <f t="shared" si="22"/>
        <v>0</v>
      </c>
      <c r="AP26" s="43">
        <f t="shared" si="22"/>
        <v>0</v>
      </c>
    </row>
    <row r="27" spans="2:42" s="63" customFormat="1" ht="13">
      <c r="B27" s="62" t="s">
        <v>3</v>
      </c>
      <c r="C27" s="62"/>
      <c r="D27" s="17" t="s">
        <v>15</v>
      </c>
      <c r="E27" s="15"/>
      <c r="F27" s="46"/>
      <c r="G27" s="47"/>
      <c r="H27" s="90">
        <f t="shared" ref="H27:AP27" si="23">Interest*H24</f>
        <v>2473975</v>
      </c>
      <c r="I27" s="90">
        <f t="shared" si="23"/>
        <v>2473975</v>
      </c>
      <c r="J27" s="90">
        <f t="shared" si="23"/>
        <v>2199088.888888889</v>
      </c>
      <c r="K27" s="90">
        <f t="shared" si="23"/>
        <v>1924202.7777777775</v>
      </c>
      <c r="L27" s="90">
        <f t="shared" si="23"/>
        <v>1649316.6666666665</v>
      </c>
      <c r="M27" s="90">
        <f t="shared" si="23"/>
        <v>1374430.5555555553</v>
      </c>
      <c r="N27" s="90">
        <f t="shared" si="23"/>
        <v>1099544.4444444443</v>
      </c>
      <c r="O27" s="90">
        <f t="shared" si="23"/>
        <v>824658.33333333302</v>
      </c>
      <c r="P27" s="90">
        <f t="shared" si="23"/>
        <v>549772.2222222219</v>
      </c>
      <c r="Q27" s="90">
        <f t="shared" si="23"/>
        <v>274886.11111111077</v>
      </c>
      <c r="R27" s="90">
        <f t="shared" si="23"/>
        <v>0</v>
      </c>
      <c r="S27" s="90">
        <f t="shared" si="23"/>
        <v>0</v>
      </c>
      <c r="T27" s="90">
        <f t="shared" si="23"/>
        <v>0</v>
      </c>
      <c r="U27" s="90">
        <f t="shared" si="23"/>
        <v>0</v>
      </c>
      <c r="V27" s="90">
        <f t="shared" si="23"/>
        <v>0</v>
      </c>
      <c r="W27" s="90">
        <f t="shared" si="23"/>
        <v>0</v>
      </c>
      <c r="X27" s="90">
        <f t="shared" si="23"/>
        <v>0</v>
      </c>
      <c r="Y27" s="90">
        <f t="shared" si="23"/>
        <v>0</v>
      </c>
      <c r="Z27" s="90">
        <f t="shared" si="23"/>
        <v>0</v>
      </c>
      <c r="AA27" s="90">
        <f t="shared" si="23"/>
        <v>0</v>
      </c>
      <c r="AB27" s="90">
        <f t="shared" si="23"/>
        <v>0</v>
      </c>
      <c r="AC27" s="90">
        <f t="shared" si="23"/>
        <v>0</v>
      </c>
      <c r="AD27" s="90">
        <f t="shared" si="23"/>
        <v>0</v>
      </c>
      <c r="AE27" s="90">
        <f t="shared" si="23"/>
        <v>0</v>
      </c>
      <c r="AF27" s="90">
        <f t="shared" si="23"/>
        <v>0</v>
      </c>
      <c r="AG27" s="90">
        <f t="shared" si="23"/>
        <v>0</v>
      </c>
      <c r="AH27" s="90">
        <f t="shared" si="23"/>
        <v>0</v>
      </c>
      <c r="AI27" s="90">
        <f t="shared" si="23"/>
        <v>0</v>
      </c>
      <c r="AJ27" s="90">
        <f t="shared" si="23"/>
        <v>0</v>
      </c>
      <c r="AK27" s="90">
        <f t="shared" si="23"/>
        <v>0</v>
      </c>
      <c r="AL27" s="90">
        <f t="shared" si="23"/>
        <v>0</v>
      </c>
      <c r="AM27" s="90">
        <f t="shared" si="23"/>
        <v>0</v>
      </c>
      <c r="AN27" s="90">
        <f t="shared" si="23"/>
        <v>0</v>
      </c>
      <c r="AO27" s="90">
        <f t="shared" si="23"/>
        <v>0</v>
      </c>
      <c r="AP27" s="90">
        <f t="shared" si="23"/>
        <v>0</v>
      </c>
    </row>
    <row r="28" spans="2:42" s="66" customFormat="1" ht="13">
      <c r="B28" s="231" t="s">
        <v>16</v>
      </c>
      <c r="C28" s="64"/>
      <c r="D28" s="65" t="s">
        <v>15</v>
      </c>
      <c r="E28" s="15"/>
      <c r="F28" s="45"/>
      <c r="G28" s="45"/>
      <c r="H28" s="43">
        <f>H25+H27</f>
        <v>2473975</v>
      </c>
      <c r="I28" s="43">
        <f t="shared" ref="I28:AF28" si="24">I25+I27</f>
        <v>5079530.555555556</v>
      </c>
      <c r="J28" s="43">
        <f t="shared" si="24"/>
        <v>4804644.444444444</v>
      </c>
      <c r="K28" s="43">
        <f t="shared" si="24"/>
        <v>4529758.333333333</v>
      </c>
      <c r="L28" s="43">
        <f t="shared" si="24"/>
        <v>4254872.222222222</v>
      </c>
      <c r="M28" s="43">
        <f t="shared" si="24"/>
        <v>3979986.111111111</v>
      </c>
      <c r="N28" s="43">
        <f t="shared" si="24"/>
        <v>3705100</v>
      </c>
      <c r="O28" s="43">
        <f t="shared" si="24"/>
        <v>3430213.8888888885</v>
      </c>
      <c r="P28" s="43">
        <f t="shared" si="24"/>
        <v>3155327.7777777775</v>
      </c>
      <c r="Q28" s="43">
        <f t="shared" si="24"/>
        <v>2880441.666666666</v>
      </c>
      <c r="R28" s="43">
        <f t="shared" si="24"/>
        <v>0</v>
      </c>
      <c r="S28" s="43">
        <f t="shared" si="24"/>
        <v>0</v>
      </c>
      <c r="T28" s="43">
        <f t="shared" si="24"/>
        <v>0</v>
      </c>
      <c r="U28" s="43">
        <f t="shared" si="24"/>
        <v>0</v>
      </c>
      <c r="V28" s="43">
        <f t="shared" si="24"/>
        <v>0</v>
      </c>
      <c r="W28" s="43">
        <f t="shared" si="24"/>
        <v>0</v>
      </c>
      <c r="X28" s="43">
        <f t="shared" si="24"/>
        <v>0</v>
      </c>
      <c r="Y28" s="43">
        <f t="shared" si="24"/>
        <v>0</v>
      </c>
      <c r="Z28" s="43">
        <f t="shared" si="24"/>
        <v>0</v>
      </c>
      <c r="AA28" s="43">
        <f t="shared" si="24"/>
        <v>0</v>
      </c>
      <c r="AB28" s="43">
        <f t="shared" si="24"/>
        <v>0</v>
      </c>
      <c r="AC28" s="43">
        <f t="shared" si="24"/>
        <v>0</v>
      </c>
      <c r="AD28" s="43">
        <f t="shared" si="24"/>
        <v>0</v>
      </c>
      <c r="AE28" s="43">
        <f t="shared" si="24"/>
        <v>0</v>
      </c>
      <c r="AF28" s="43">
        <f t="shared" si="24"/>
        <v>0</v>
      </c>
      <c r="AG28" s="43">
        <f t="shared" ref="AG28:AP28" si="25">AG25+AG27</f>
        <v>0</v>
      </c>
      <c r="AH28" s="43">
        <f t="shared" si="25"/>
        <v>0</v>
      </c>
      <c r="AI28" s="43">
        <f t="shared" si="25"/>
        <v>0</v>
      </c>
      <c r="AJ28" s="43">
        <f t="shared" si="25"/>
        <v>0</v>
      </c>
      <c r="AK28" s="43">
        <f t="shared" si="25"/>
        <v>0</v>
      </c>
      <c r="AL28" s="43">
        <f t="shared" si="25"/>
        <v>0</v>
      </c>
      <c r="AM28" s="43">
        <f t="shared" si="25"/>
        <v>0</v>
      </c>
      <c r="AN28" s="43">
        <f t="shared" si="25"/>
        <v>0</v>
      </c>
      <c r="AO28" s="43">
        <f t="shared" si="25"/>
        <v>0</v>
      </c>
      <c r="AP28" s="43">
        <f t="shared" si="25"/>
        <v>0</v>
      </c>
    </row>
    <row r="29" spans="2:42" ht="13">
      <c r="B29" s="41"/>
      <c r="C29" s="41"/>
      <c r="D29" s="67"/>
      <c r="E29" s="41"/>
      <c r="F29" s="68"/>
      <c r="G29" s="68"/>
      <c r="H29" s="57"/>
      <c r="I29" s="57"/>
      <c r="J29" s="57"/>
      <c r="K29" s="57"/>
      <c r="L29" s="57"/>
      <c r="M29" s="57"/>
      <c r="N29" s="57"/>
      <c r="O29" s="57"/>
      <c r="P29" s="57"/>
      <c r="Q29" s="57"/>
      <c r="R29" s="57"/>
      <c r="S29" s="57"/>
      <c r="T29" s="57"/>
      <c r="U29" s="57"/>
      <c r="V29" s="57"/>
      <c r="W29" s="57"/>
      <c r="X29" s="57"/>
      <c r="Y29" s="57"/>
      <c r="Z29" s="57"/>
      <c r="AA29" s="57"/>
      <c r="AB29" s="57"/>
      <c r="AC29" s="57"/>
      <c r="AD29" s="57"/>
      <c r="AE29" s="57"/>
      <c r="AF29" s="57"/>
    </row>
    <row r="30" spans="2:42" ht="14.5">
      <c r="B30" s="205" t="s">
        <v>12</v>
      </c>
      <c r="C30" s="59"/>
      <c r="D30" s="60"/>
      <c r="E30" s="41"/>
      <c r="F30" s="69"/>
      <c r="G30" s="68"/>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18"/>
      <c r="AH30" s="18"/>
      <c r="AI30" s="18"/>
      <c r="AJ30" s="18"/>
      <c r="AK30" s="18"/>
      <c r="AL30" s="18"/>
      <c r="AM30" s="18"/>
      <c r="AN30" s="18"/>
      <c r="AO30" s="18"/>
      <c r="AP30" s="18"/>
    </row>
    <row r="31" spans="2:42" ht="13">
      <c r="B31" s="41" t="s">
        <v>173</v>
      </c>
      <c r="C31" s="41"/>
      <c r="D31" s="40" t="s">
        <v>15</v>
      </c>
      <c r="E31" s="41"/>
      <c r="F31" s="71"/>
      <c r="G31" s="68"/>
      <c r="H31" s="43">
        <f t="shared" ref="H31:AP31" si="26">H8/(12/Workingcapital_OandM)</f>
        <v>39083.333333333336</v>
      </c>
      <c r="I31" s="43">
        <f t="shared" si="26"/>
        <v>41318.9</v>
      </c>
      <c r="J31" s="43">
        <f t="shared" si="26"/>
        <v>43682.341079999998</v>
      </c>
      <c r="K31" s="43">
        <f t="shared" si="26"/>
        <v>46180.970989775997</v>
      </c>
      <c r="L31" s="43">
        <f t="shared" si="26"/>
        <v>48822.522530391179</v>
      </c>
      <c r="M31" s="43">
        <f t="shared" si="26"/>
        <v>51615.170819129562</v>
      </c>
      <c r="N31" s="43">
        <f t="shared" si="26"/>
        <v>54567.558589983768</v>
      </c>
      <c r="O31" s="43">
        <f t="shared" si="26"/>
        <v>57688.822941330844</v>
      </c>
      <c r="P31" s="43">
        <f t="shared" si="26"/>
        <v>60988.623613574971</v>
      </c>
      <c r="Q31" s="43">
        <f t="shared" si="26"/>
        <v>64477.172884271458</v>
      </c>
      <c r="R31" s="43">
        <f t="shared" si="26"/>
        <v>68165.267173251792</v>
      </c>
      <c r="S31" s="43">
        <f t="shared" si="26"/>
        <v>72064.320455561785</v>
      </c>
      <c r="T31" s="43">
        <f t="shared" si="26"/>
        <v>76186.399585619933</v>
      </c>
      <c r="U31" s="43">
        <f t="shared" si="26"/>
        <v>80544.261641917386</v>
      </c>
      <c r="V31" s="43">
        <f t="shared" si="26"/>
        <v>85151.393407835058</v>
      </c>
      <c r="W31" s="43">
        <f t="shared" si="26"/>
        <v>90022.053110763241</v>
      </c>
      <c r="X31" s="43">
        <f t="shared" si="26"/>
        <v>95171.314548698894</v>
      </c>
      <c r="Y31" s="43">
        <f t="shared" si="26"/>
        <v>100615.11374088447</v>
      </c>
      <c r="Z31" s="43">
        <f t="shared" si="26"/>
        <v>106370.29824686307</v>
      </c>
      <c r="AA31" s="43">
        <f t="shared" si="26"/>
        <v>112454.67930658364</v>
      </c>
      <c r="AB31" s="43">
        <f t="shared" si="26"/>
        <v>118887.08696292022</v>
      </c>
      <c r="AC31" s="43">
        <f t="shared" si="26"/>
        <v>125687.42833719926</v>
      </c>
      <c r="AD31" s="43">
        <f t="shared" si="26"/>
        <v>132876.74923808707</v>
      </c>
      <c r="AE31" s="43">
        <f t="shared" si="26"/>
        <v>140477.29929450565</v>
      </c>
      <c r="AF31" s="43">
        <f t="shared" si="26"/>
        <v>148512.60081415137</v>
      </c>
      <c r="AG31" s="43">
        <f t="shared" si="26"/>
        <v>157007.52158072082</v>
      </c>
      <c r="AH31" s="43">
        <f t="shared" si="26"/>
        <v>165988.35181513804</v>
      </c>
      <c r="AI31" s="43">
        <f t="shared" si="26"/>
        <v>175482.88553896395</v>
      </c>
      <c r="AJ31" s="43">
        <f t="shared" si="26"/>
        <v>185520.50659179268</v>
      </c>
      <c r="AK31" s="43">
        <f t="shared" si="26"/>
        <v>196132.27956884322</v>
      </c>
      <c r="AL31" s="43">
        <f t="shared" si="26"/>
        <v>207351.04596018107</v>
      </c>
      <c r="AM31" s="43">
        <f t="shared" si="26"/>
        <v>219211.52578910344</v>
      </c>
      <c r="AN31" s="43">
        <f t="shared" si="26"/>
        <v>231750.42506424015</v>
      </c>
      <c r="AO31" s="43">
        <f t="shared" si="26"/>
        <v>245006.54937791466</v>
      </c>
      <c r="AP31" s="43">
        <f t="shared" si="26"/>
        <v>259020.92400233142</v>
      </c>
    </row>
    <row r="32" spans="2:42" ht="13">
      <c r="B32" s="15" t="s">
        <v>172</v>
      </c>
      <c r="C32" s="41"/>
      <c r="D32" s="40"/>
      <c r="E32" s="41"/>
      <c r="F32" s="71"/>
      <c r="G32" s="68"/>
      <c r="H32" s="89">
        <f t="shared" ref="H32:AP32" si="27">H31*Interest_working_capital</f>
        <v>4514.1250000000009</v>
      </c>
      <c r="I32" s="89">
        <f t="shared" si="27"/>
        <v>4772.33295</v>
      </c>
      <c r="J32" s="89">
        <f t="shared" si="27"/>
        <v>5045.3103947400004</v>
      </c>
      <c r="K32" s="89">
        <f t="shared" si="27"/>
        <v>5333.9021493191276</v>
      </c>
      <c r="L32" s="89">
        <f t="shared" si="27"/>
        <v>5639.0013522601812</v>
      </c>
      <c r="M32" s="89">
        <f t="shared" si="27"/>
        <v>5961.552229609465</v>
      </c>
      <c r="N32" s="89">
        <f t="shared" si="27"/>
        <v>6302.5530171431255</v>
      </c>
      <c r="O32" s="89">
        <f t="shared" si="27"/>
        <v>6663.0590497237126</v>
      </c>
      <c r="P32" s="89">
        <f t="shared" si="27"/>
        <v>7044.1860273679094</v>
      </c>
      <c r="Q32" s="89">
        <f t="shared" si="27"/>
        <v>7447.1134681333542</v>
      </c>
      <c r="R32" s="89">
        <f t="shared" si="27"/>
        <v>7873.0883585105821</v>
      </c>
      <c r="S32" s="89">
        <f t="shared" si="27"/>
        <v>8323.4290126173873</v>
      </c>
      <c r="T32" s="89">
        <f t="shared" si="27"/>
        <v>8799.5291521391027</v>
      </c>
      <c r="U32" s="89">
        <f t="shared" si="27"/>
        <v>9302.8622196414581</v>
      </c>
      <c r="V32" s="89">
        <f t="shared" si="27"/>
        <v>9834.9859386049502</v>
      </c>
      <c r="W32" s="89">
        <f t="shared" si="27"/>
        <v>10397.547134293154</v>
      </c>
      <c r="X32" s="89">
        <f t="shared" si="27"/>
        <v>10992.286830374724</v>
      </c>
      <c r="Y32" s="89">
        <f t="shared" si="27"/>
        <v>11621.045637072157</v>
      </c>
      <c r="Z32" s="89">
        <f t="shared" si="27"/>
        <v>12285.769447512685</v>
      </c>
      <c r="AA32" s="89">
        <f t="shared" si="27"/>
        <v>12988.515459910412</v>
      </c>
      <c r="AB32" s="89">
        <f t="shared" si="27"/>
        <v>13731.458544217287</v>
      </c>
      <c r="AC32" s="89">
        <f t="shared" si="27"/>
        <v>14516.897972946515</v>
      </c>
      <c r="AD32" s="89">
        <f t="shared" si="27"/>
        <v>15347.264536999057</v>
      </c>
      <c r="AE32" s="89">
        <f t="shared" si="27"/>
        <v>16225.128068515403</v>
      </c>
      <c r="AF32" s="89">
        <f t="shared" si="27"/>
        <v>17153.205394034485</v>
      </c>
      <c r="AG32" s="89">
        <f t="shared" si="27"/>
        <v>18134.368742573253</v>
      </c>
      <c r="AH32" s="89">
        <f t="shared" si="27"/>
        <v>19171.654634648443</v>
      </c>
      <c r="AI32" s="89">
        <f t="shared" si="27"/>
        <v>20268.273279750338</v>
      </c>
      <c r="AJ32" s="89">
        <f t="shared" si="27"/>
        <v>21427.618511352055</v>
      </c>
      <c r="AK32" s="89">
        <f t="shared" si="27"/>
        <v>22653.278290201393</v>
      </c>
      <c r="AL32" s="89">
        <f t="shared" si="27"/>
        <v>23949.045808400915</v>
      </c>
      <c r="AM32" s="89">
        <f t="shared" si="27"/>
        <v>25318.93122864145</v>
      </c>
      <c r="AN32" s="89">
        <f t="shared" si="27"/>
        <v>26767.174094919737</v>
      </c>
      <c r="AO32" s="89">
        <f t="shared" si="27"/>
        <v>28298.256453149144</v>
      </c>
      <c r="AP32" s="89">
        <f t="shared" si="27"/>
        <v>29916.916722269281</v>
      </c>
    </row>
    <row r="33" spans="2:42" ht="13">
      <c r="B33" s="41" t="s">
        <v>174</v>
      </c>
      <c r="C33" s="41"/>
      <c r="D33" s="40" t="s">
        <v>15</v>
      </c>
      <c r="E33" s="41"/>
      <c r="F33" s="71"/>
      <c r="G33" s="68"/>
      <c r="H33" s="43">
        <f t="shared" ref="H33:AP33" si="28">IF(ISNUMBER(Workingcapital_spares),H31*Workingcapital_spares,0)</f>
        <v>0</v>
      </c>
      <c r="I33" s="43">
        <f t="shared" si="28"/>
        <v>0</v>
      </c>
      <c r="J33" s="43">
        <f t="shared" si="28"/>
        <v>0</v>
      </c>
      <c r="K33" s="43">
        <f t="shared" si="28"/>
        <v>0</v>
      </c>
      <c r="L33" s="43">
        <f t="shared" si="28"/>
        <v>0</v>
      </c>
      <c r="M33" s="43">
        <f t="shared" si="28"/>
        <v>0</v>
      </c>
      <c r="N33" s="43">
        <f t="shared" si="28"/>
        <v>0</v>
      </c>
      <c r="O33" s="43">
        <f t="shared" si="28"/>
        <v>0</v>
      </c>
      <c r="P33" s="43">
        <f t="shared" si="28"/>
        <v>0</v>
      </c>
      <c r="Q33" s="43">
        <f t="shared" si="28"/>
        <v>0</v>
      </c>
      <c r="R33" s="43">
        <f t="shared" si="28"/>
        <v>0</v>
      </c>
      <c r="S33" s="43">
        <f t="shared" si="28"/>
        <v>0</v>
      </c>
      <c r="T33" s="43">
        <f t="shared" si="28"/>
        <v>0</v>
      </c>
      <c r="U33" s="43">
        <f t="shared" si="28"/>
        <v>0</v>
      </c>
      <c r="V33" s="43">
        <f t="shared" si="28"/>
        <v>0</v>
      </c>
      <c r="W33" s="43">
        <f t="shared" si="28"/>
        <v>0</v>
      </c>
      <c r="X33" s="43">
        <f t="shared" si="28"/>
        <v>0</v>
      </c>
      <c r="Y33" s="43">
        <f t="shared" si="28"/>
        <v>0</v>
      </c>
      <c r="Z33" s="43">
        <f t="shared" si="28"/>
        <v>0</v>
      </c>
      <c r="AA33" s="43">
        <f t="shared" si="28"/>
        <v>0</v>
      </c>
      <c r="AB33" s="43">
        <f t="shared" si="28"/>
        <v>0</v>
      </c>
      <c r="AC33" s="43">
        <f t="shared" si="28"/>
        <v>0</v>
      </c>
      <c r="AD33" s="43">
        <f t="shared" si="28"/>
        <v>0</v>
      </c>
      <c r="AE33" s="43">
        <f t="shared" si="28"/>
        <v>0</v>
      </c>
      <c r="AF33" s="43">
        <f t="shared" si="28"/>
        <v>0</v>
      </c>
      <c r="AG33" s="43">
        <f t="shared" si="28"/>
        <v>0</v>
      </c>
      <c r="AH33" s="43">
        <f t="shared" si="28"/>
        <v>0</v>
      </c>
      <c r="AI33" s="43">
        <f t="shared" si="28"/>
        <v>0</v>
      </c>
      <c r="AJ33" s="43">
        <f t="shared" si="28"/>
        <v>0</v>
      </c>
      <c r="AK33" s="43">
        <f t="shared" si="28"/>
        <v>0</v>
      </c>
      <c r="AL33" s="43">
        <f t="shared" si="28"/>
        <v>0</v>
      </c>
      <c r="AM33" s="43">
        <f t="shared" si="28"/>
        <v>0</v>
      </c>
      <c r="AN33" s="43">
        <f t="shared" si="28"/>
        <v>0</v>
      </c>
      <c r="AO33" s="43">
        <f t="shared" si="28"/>
        <v>0</v>
      </c>
      <c r="AP33" s="43">
        <f t="shared" si="28"/>
        <v>0</v>
      </c>
    </row>
    <row r="34" spans="2:42" ht="13">
      <c r="B34" s="41" t="s">
        <v>175</v>
      </c>
      <c r="C34" s="41"/>
      <c r="D34" s="40"/>
      <c r="E34" s="41"/>
      <c r="F34" s="71"/>
      <c r="G34" s="68"/>
      <c r="H34" s="43">
        <f t="shared" ref="H34:AP34" si="29">IF(OR(Technology="Biomass",Technology="Bagasse"),H15/(12/Bio_workingcapital_fuel),0)</f>
        <v>0</v>
      </c>
      <c r="I34" s="43">
        <f t="shared" si="29"/>
        <v>0</v>
      </c>
      <c r="J34" s="43">
        <f t="shared" si="29"/>
        <v>0</v>
      </c>
      <c r="K34" s="43">
        <f t="shared" si="29"/>
        <v>0</v>
      </c>
      <c r="L34" s="43">
        <f t="shared" si="29"/>
        <v>0</v>
      </c>
      <c r="M34" s="43">
        <f t="shared" si="29"/>
        <v>0</v>
      </c>
      <c r="N34" s="43">
        <f t="shared" si="29"/>
        <v>0</v>
      </c>
      <c r="O34" s="43">
        <f t="shared" si="29"/>
        <v>0</v>
      </c>
      <c r="P34" s="43">
        <f t="shared" si="29"/>
        <v>0</v>
      </c>
      <c r="Q34" s="43">
        <f t="shared" si="29"/>
        <v>0</v>
      </c>
      <c r="R34" s="43">
        <f t="shared" si="29"/>
        <v>0</v>
      </c>
      <c r="S34" s="43">
        <f t="shared" si="29"/>
        <v>0</v>
      </c>
      <c r="T34" s="43">
        <f t="shared" si="29"/>
        <v>0</v>
      </c>
      <c r="U34" s="43">
        <f t="shared" si="29"/>
        <v>0</v>
      </c>
      <c r="V34" s="43">
        <f t="shared" si="29"/>
        <v>0</v>
      </c>
      <c r="W34" s="43">
        <f t="shared" si="29"/>
        <v>0</v>
      </c>
      <c r="X34" s="43">
        <f t="shared" si="29"/>
        <v>0</v>
      </c>
      <c r="Y34" s="43">
        <f t="shared" si="29"/>
        <v>0</v>
      </c>
      <c r="Z34" s="43">
        <f t="shared" si="29"/>
        <v>0</v>
      </c>
      <c r="AA34" s="43">
        <f t="shared" si="29"/>
        <v>0</v>
      </c>
      <c r="AB34" s="43">
        <f t="shared" si="29"/>
        <v>0</v>
      </c>
      <c r="AC34" s="43">
        <f t="shared" si="29"/>
        <v>0</v>
      </c>
      <c r="AD34" s="43">
        <f t="shared" si="29"/>
        <v>0</v>
      </c>
      <c r="AE34" s="43">
        <f t="shared" si="29"/>
        <v>0</v>
      </c>
      <c r="AF34" s="43">
        <f t="shared" si="29"/>
        <v>0</v>
      </c>
      <c r="AG34" s="43">
        <f t="shared" si="29"/>
        <v>0</v>
      </c>
      <c r="AH34" s="43">
        <f t="shared" si="29"/>
        <v>0</v>
      </c>
      <c r="AI34" s="43">
        <f t="shared" si="29"/>
        <v>0</v>
      </c>
      <c r="AJ34" s="43">
        <f t="shared" si="29"/>
        <v>0</v>
      </c>
      <c r="AK34" s="43">
        <f t="shared" si="29"/>
        <v>0</v>
      </c>
      <c r="AL34" s="43">
        <f t="shared" si="29"/>
        <v>0</v>
      </c>
      <c r="AM34" s="43">
        <f t="shared" si="29"/>
        <v>0</v>
      </c>
      <c r="AN34" s="43">
        <f t="shared" si="29"/>
        <v>0</v>
      </c>
      <c r="AO34" s="43">
        <f t="shared" si="29"/>
        <v>0</v>
      </c>
      <c r="AP34" s="43">
        <f t="shared" si="29"/>
        <v>0</v>
      </c>
    </row>
    <row r="35" spans="2:42" ht="13">
      <c r="B35" s="15" t="s">
        <v>176</v>
      </c>
      <c r="C35" s="15"/>
      <c r="D35" s="17" t="s">
        <v>15</v>
      </c>
      <c r="E35" s="15"/>
      <c r="F35" s="15"/>
      <c r="G35" s="37"/>
      <c r="H35" s="38">
        <f t="shared" ref="H35:AP35" si="30">IF(Workingcapital_receivables&gt;0, (H8+H9+H11+H12+H14+H32)/(12/Workingcapital_receivables),0)</f>
        <v>996539.85416666663</v>
      </c>
      <c r="I35" s="38">
        <f t="shared" si="30"/>
        <v>1000385.6971583333</v>
      </c>
      <c r="J35" s="38">
        <f t="shared" si="30"/>
        <v>958675.39870727155</v>
      </c>
      <c r="K35" s="38">
        <f t="shared" si="30"/>
        <v>917238.08030073473</v>
      </c>
      <c r="L35" s="38">
        <f t="shared" si="30"/>
        <v>876089.35639727011</v>
      </c>
      <c r="M35" s="38">
        <f t="shared" si="30"/>
        <v>835245.73460245319</v>
      </c>
      <c r="N35" s="38">
        <f t="shared" si="30"/>
        <v>794724.66675689875</v>
      </c>
      <c r="O35" s="38">
        <f t="shared" si="30"/>
        <v>754544.60294650448</v>
      </c>
      <c r="P35" s="38">
        <f t="shared" si="30"/>
        <v>714725.04860208149</v>
      </c>
      <c r="Q35" s="38">
        <f t="shared" si="30"/>
        <v>675286.62486508361</v>
      </c>
      <c r="R35" s="38">
        <f t="shared" si="30"/>
        <v>636251.13240625535</v>
      </c>
      <c r="S35" s="38">
        <f t="shared" si="30"/>
        <v>643455.97074655991</v>
      </c>
      <c r="T35" s="38">
        <f t="shared" si="30"/>
        <v>651111.15402992966</v>
      </c>
      <c r="U35" s="38">
        <f t="shared" si="30"/>
        <v>659242.44198710832</v>
      </c>
      <c r="V35" s="38">
        <f t="shared" si="30"/>
        <v>667877.0678054376</v>
      </c>
      <c r="W35" s="38">
        <f t="shared" si="30"/>
        <v>677043.82241057535</v>
      </c>
      <c r="X35" s="38">
        <f t="shared" si="30"/>
        <v>686773.14356912684</v>
      </c>
      <c r="Y35" s="38">
        <f t="shared" si="30"/>
        <v>697097.21008794766</v>
      </c>
      <c r="Z35" s="38">
        <f t="shared" si="30"/>
        <v>708050.04140164482</v>
      </c>
      <c r="AA35" s="38">
        <f t="shared" si="30"/>
        <v>719667.60285648564</v>
      </c>
      <c r="AB35" s="38">
        <f t="shared" si="30"/>
        <v>731987.91701654333</v>
      </c>
      <c r="AC35" s="38">
        <f t="shared" si="30"/>
        <v>745051.18133655621</v>
      </c>
      <c r="AD35" s="38">
        <f t="shared" si="30"/>
        <v>758899.89256567403</v>
      </c>
      <c r="AE35" s="38">
        <f t="shared" si="30"/>
        <v>773578.97826709703</v>
      </c>
      <c r="AF35" s="38">
        <f t="shared" si="30"/>
        <v>789135.93586064177</v>
      </c>
      <c r="AG35" s="38">
        <f t="shared" si="30"/>
        <v>614670.97961853712</v>
      </c>
      <c r="AH35" s="38">
        <f t="shared" si="30"/>
        <v>632805.52106938418</v>
      </c>
      <c r="AI35" s="38">
        <f t="shared" si="30"/>
        <v>651977.35829121957</v>
      </c>
      <c r="AJ35" s="38">
        <f t="shared" si="30"/>
        <v>672245.82460214407</v>
      </c>
      <c r="AK35" s="38">
        <f t="shared" si="30"/>
        <v>693673.64718605333</v>
      </c>
      <c r="AL35" s="38">
        <f t="shared" si="30"/>
        <v>716327.14122176229</v>
      </c>
      <c r="AM35" s="38">
        <f t="shared" si="30"/>
        <v>740276.41511631384</v>
      </c>
      <c r="AN35" s="38">
        <f t="shared" si="30"/>
        <v>765595.58747763361</v>
      </c>
      <c r="AO35" s="38">
        <f t="shared" si="30"/>
        <v>792363.01649802085</v>
      </c>
      <c r="AP35" s="38">
        <f t="shared" si="30"/>
        <v>820661.5424583744</v>
      </c>
    </row>
    <row r="36" spans="2:42" s="23" customFormat="1" ht="13">
      <c r="B36" s="15" t="s">
        <v>177</v>
      </c>
      <c r="C36" s="59"/>
      <c r="D36" s="65" t="s">
        <v>15</v>
      </c>
      <c r="E36" s="15"/>
      <c r="F36" s="45"/>
      <c r="G36" s="45"/>
      <c r="H36" s="89">
        <f t="shared" ref="H36:AP36" si="31">H35*Interest_working_capital</f>
        <v>115100.35315625</v>
      </c>
      <c r="I36" s="89">
        <f t="shared" si="31"/>
        <v>115544.5480217875</v>
      </c>
      <c r="J36" s="89">
        <f t="shared" si="31"/>
        <v>110727.00855068988</v>
      </c>
      <c r="K36" s="89">
        <f t="shared" si="31"/>
        <v>105940.99827473487</v>
      </c>
      <c r="L36" s="89">
        <f t="shared" si="31"/>
        <v>101188.3206638847</v>
      </c>
      <c r="M36" s="89">
        <f t="shared" si="31"/>
        <v>96470.882346583341</v>
      </c>
      <c r="N36" s="89">
        <f t="shared" si="31"/>
        <v>91790.699010421813</v>
      </c>
      <c r="O36" s="89">
        <f t="shared" si="31"/>
        <v>87149.901640321274</v>
      </c>
      <c r="P36" s="89">
        <f t="shared" si="31"/>
        <v>82550.743113540419</v>
      </c>
      <c r="Q36" s="89">
        <f t="shared" si="31"/>
        <v>77995.605171917166</v>
      </c>
      <c r="R36" s="89">
        <f t="shared" si="31"/>
        <v>73487.0057929225</v>
      </c>
      <c r="S36" s="89">
        <f t="shared" si="31"/>
        <v>74319.164621227668</v>
      </c>
      <c r="T36" s="89">
        <f t="shared" si="31"/>
        <v>75203.338290456886</v>
      </c>
      <c r="U36" s="89">
        <f t="shared" si="31"/>
        <v>76142.502049511022</v>
      </c>
      <c r="V36" s="89">
        <f t="shared" si="31"/>
        <v>77139.80133152804</v>
      </c>
      <c r="W36" s="89">
        <f t="shared" si="31"/>
        <v>78198.561488421459</v>
      </c>
      <c r="X36" s="89">
        <f t="shared" si="31"/>
        <v>79322.298082234149</v>
      </c>
      <c r="Y36" s="89">
        <f t="shared" si="31"/>
        <v>80514.727765157964</v>
      </c>
      <c r="Z36" s="89">
        <f t="shared" si="31"/>
        <v>81779.779781889985</v>
      </c>
      <c r="AA36" s="89">
        <f t="shared" si="31"/>
        <v>83121.60812992409</v>
      </c>
      <c r="AB36" s="89">
        <f t="shared" si="31"/>
        <v>84544.604415410766</v>
      </c>
      <c r="AC36" s="89">
        <f t="shared" si="31"/>
        <v>86053.41144437225</v>
      </c>
      <c r="AD36" s="89">
        <f t="shared" si="31"/>
        <v>87652.937591335358</v>
      </c>
      <c r="AE36" s="89">
        <f t="shared" si="31"/>
        <v>89348.371989849707</v>
      </c>
      <c r="AF36" s="89">
        <f t="shared" si="31"/>
        <v>91145.200591904126</v>
      </c>
      <c r="AG36" s="89">
        <f t="shared" si="31"/>
        <v>70994.498145941048</v>
      </c>
      <c r="AH36" s="89">
        <f t="shared" si="31"/>
        <v>73089.037683513874</v>
      </c>
      <c r="AI36" s="89">
        <f t="shared" si="31"/>
        <v>75303.384882635859</v>
      </c>
      <c r="AJ36" s="89">
        <f t="shared" si="31"/>
        <v>77644.39274154765</v>
      </c>
      <c r="AK36" s="89">
        <f t="shared" si="31"/>
        <v>80119.306249989168</v>
      </c>
      <c r="AL36" s="89">
        <f t="shared" si="31"/>
        <v>82735.784811113554</v>
      </c>
      <c r="AM36" s="89">
        <f t="shared" si="31"/>
        <v>85501.925945934257</v>
      </c>
      <c r="AN36" s="89">
        <f t="shared" si="31"/>
        <v>88426.290353666685</v>
      </c>
      <c r="AO36" s="89">
        <f t="shared" si="31"/>
        <v>91517.928405521408</v>
      </c>
      <c r="AP36" s="89">
        <f t="shared" si="31"/>
        <v>94786.408153942248</v>
      </c>
    </row>
    <row r="37" spans="2:42" s="23" customFormat="1" ht="13">
      <c r="B37" s="41"/>
      <c r="C37" s="59"/>
      <c r="D37" s="65"/>
      <c r="E37" s="15"/>
      <c r="F37" s="45"/>
      <c r="G37" s="45"/>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row>
    <row r="38" spans="2:42" ht="14.5">
      <c r="B38" s="205" t="s">
        <v>77</v>
      </c>
      <c r="C38" s="41"/>
      <c r="D38" s="60"/>
      <c r="E38" s="41"/>
      <c r="F38" s="72"/>
      <c r="G38" s="45"/>
      <c r="H38" s="73"/>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18"/>
      <c r="AH38" s="18"/>
      <c r="AI38" s="18"/>
      <c r="AJ38" s="18"/>
      <c r="AK38" s="18"/>
      <c r="AL38" s="18"/>
      <c r="AM38" s="18"/>
      <c r="AN38" s="18"/>
      <c r="AO38" s="18"/>
      <c r="AP38" s="18"/>
    </row>
    <row r="39" spans="2:42" ht="13">
      <c r="B39" s="41" t="s">
        <v>59</v>
      </c>
      <c r="C39" s="41"/>
      <c r="D39" s="40" t="s">
        <v>15</v>
      </c>
      <c r="E39" s="41"/>
      <c r="F39" s="74"/>
      <c r="G39" s="75"/>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row>
    <row r="40" spans="2:42" ht="13">
      <c r="B40" s="41" t="s">
        <v>60</v>
      </c>
      <c r="C40" s="41"/>
      <c r="D40" s="40" t="s">
        <v>14</v>
      </c>
      <c r="E40" s="41"/>
      <c r="F40" s="76"/>
      <c r="G40" s="77"/>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row>
    <row r="41" spans="2:42" ht="13">
      <c r="B41" s="41" t="s">
        <v>61</v>
      </c>
      <c r="C41" s="41"/>
      <c r="D41" s="40" t="s">
        <v>15</v>
      </c>
      <c r="E41" s="41"/>
      <c r="F41" s="41"/>
      <c r="G41" s="42"/>
      <c r="H41" s="43">
        <f>H39</f>
        <v>0</v>
      </c>
      <c r="I41" s="43">
        <f>H41+I39</f>
        <v>0</v>
      </c>
      <c r="J41" s="43">
        <f t="shared" ref="J41:AF41" si="32">I41+J39</f>
        <v>0</v>
      </c>
      <c r="K41" s="43">
        <f t="shared" si="32"/>
        <v>0</v>
      </c>
      <c r="L41" s="43">
        <f t="shared" si="32"/>
        <v>0</v>
      </c>
      <c r="M41" s="43">
        <f t="shared" si="32"/>
        <v>0</v>
      </c>
      <c r="N41" s="43">
        <f t="shared" si="32"/>
        <v>0</v>
      </c>
      <c r="O41" s="43">
        <f t="shared" si="32"/>
        <v>0</v>
      </c>
      <c r="P41" s="43">
        <f t="shared" si="32"/>
        <v>0</v>
      </c>
      <c r="Q41" s="43">
        <f t="shared" si="32"/>
        <v>0</v>
      </c>
      <c r="R41" s="43">
        <f t="shared" si="32"/>
        <v>0</v>
      </c>
      <c r="S41" s="43">
        <f t="shared" si="32"/>
        <v>0</v>
      </c>
      <c r="T41" s="43">
        <f t="shared" si="32"/>
        <v>0</v>
      </c>
      <c r="U41" s="43">
        <f t="shared" si="32"/>
        <v>0</v>
      </c>
      <c r="V41" s="43">
        <f t="shared" si="32"/>
        <v>0</v>
      </c>
      <c r="W41" s="43">
        <f t="shared" si="32"/>
        <v>0</v>
      </c>
      <c r="X41" s="43">
        <f t="shared" si="32"/>
        <v>0</v>
      </c>
      <c r="Y41" s="43">
        <f t="shared" si="32"/>
        <v>0</v>
      </c>
      <c r="Z41" s="43">
        <f t="shared" si="32"/>
        <v>0</v>
      </c>
      <c r="AA41" s="43">
        <f t="shared" si="32"/>
        <v>0</v>
      </c>
      <c r="AB41" s="43">
        <f t="shared" si="32"/>
        <v>0</v>
      </c>
      <c r="AC41" s="43">
        <f t="shared" si="32"/>
        <v>0</v>
      </c>
      <c r="AD41" s="43">
        <f t="shared" si="32"/>
        <v>0</v>
      </c>
      <c r="AE41" s="43">
        <f t="shared" si="32"/>
        <v>0</v>
      </c>
      <c r="AF41" s="43">
        <f t="shared" si="32"/>
        <v>0</v>
      </c>
      <c r="AG41" s="43">
        <f t="shared" ref="AG41:AP41" si="33">AF41+AG39</f>
        <v>0</v>
      </c>
      <c r="AH41" s="43">
        <f t="shared" si="33"/>
        <v>0</v>
      </c>
      <c r="AI41" s="43">
        <f t="shared" si="33"/>
        <v>0</v>
      </c>
      <c r="AJ41" s="43">
        <f t="shared" si="33"/>
        <v>0</v>
      </c>
      <c r="AK41" s="43">
        <f t="shared" si="33"/>
        <v>0</v>
      </c>
      <c r="AL41" s="43">
        <f t="shared" si="33"/>
        <v>0</v>
      </c>
      <c r="AM41" s="43">
        <f t="shared" si="33"/>
        <v>0</v>
      </c>
      <c r="AN41" s="43">
        <f t="shared" si="33"/>
        <v>0</v>
      </c>
      <c r="AO41" s="43">
        <f t="shared" si="33"/>
        <v>0</v>
      </c>
      <c r="AP41" s="43">
        <f t="shared" si="33"/>
        <v>0</v>
      </c>
    </row>
    <row r="42" spans="2:42" ht="13">
      <c r="B42" s="41" t="s">
        <v>32</v>
      </c>
      <c r="C42" s="41"/>
      <c r="D42" s="40"/>
      <c r="E42" s="41"/>
      <c r="F42" s="41"/>
      <c r="G42" s="42"/>
      <c r="H42" s="43">
        <f>Gross_capex</f>
        <v>33500000</v>
      </c>
      <c r="I42" s="89">
        <f>H42-H10</f>
        <v>32354300</v>
      </c>
      <c r="J42" s="89">
        <f t="shared" ref="J42:AP42" si="34">I42-I10</f>
        <v>31208600</v>
      </c>
      <c r="K42" s="89">
        <f t="shared" si="34"/>
        <v>30062900</v>
      </c>
      <c r="L42" s="89">
        <f t="shared" si="34"/>
        <v>28917200</v>
      </c>
      <c r="M42" s="89">
        <f t="shared" si="34"/>
        <v>27771500</v>
      </c>
      <c r="N42" s="89">
        <f t="shared" si="34"/>
        <v>26625800</v>
      </c>
      <c r="O42" s="89">
        <f t="shared" si="34"/>
        <v>25480100</v>
      </c>
      <c r="P42" s="89">
        <f t="shared" si="34"/>
        <v>24334400</v>
      </c>
      <c r="Q42" s="89">
        <f t="shared" si="34"/>
        <v>23188700</v>
      </c>
      <c r="R42" s="89">
        <f t="shared" si="34"/>
        <v>22043000</v>
      </c>
      <c r="S42" s="89">
        <f t="shared" si="34"/>
        <v>20897300</v>
      </c>
      <c r="T42" s="89">
        <f t="shared" si="34"/>
        <v>19751600</v>
      </c>
      <c r="U42" s="89">
        <f t="shared" si="34"/>
        <v>18605900</v>
      </c>
      <c r="V42" s="89">
        <f t="shared" si="34"/>
        <v>17460200</v>
      </c>
      <c r="W42" s="89">
        <f t="shared" si="34"/>
        <v>16314500</v>
      </c>
      <c r="X42" s="89">
        <f t="shared" si="34"/>
        <v>15168800</v>
      </c>
      <c r="Y42" s="89">
        <f t="shared" si="34"/>
        <v>14023100</v>
      </c>
      <c r="Z42" s="89">
        <f t="shared" si="34"/>
        <v>12877400</v>
      </c>
      <c r="AA42" s="89">
        <f t="shared" si="34"/>
        <v>11731700</v>
      </c>
      <c r="AB42" s="89">
        <f t="shared" si="34"/>
        <v>10586000</v>
      </c>
      <c r="AC42" s="89">
        <f t="shared" si="34"/>
        <v>9440300</v>
      </c>
      <c r="AD42" s="89">
        <f t="shared" si="34"/>
        <v>8294600</v>
      </c>
      <c r="AE42" s="89">
        <f t="shared" si="34"/>
        <v>7148900</v>
      </c>
      <c r="AF42" s="89">
        <f t="shared" si="34"/>
        <v>6003200</v>
      </c>
      <c r="AG42" s="89">
        <f t="shared" si="34"/>
        <v>4857500</v>
      </c>
      <c r="AH42" s="89">
        <f t="shared" si="34"/>
        <v>4857500</v>
      </c>
      <c r="AI42" s="89">
        <f t="shared" si="34"/>
        <v>4857500</v>
      </c>
      <c r="AJ42" s="89">
        <f t="shared" si="34"/>
        <v>4857500</v>
      </c>
      <c r="AK42" s="89">
        <f t="shared" si="34"/>
        <v>4857500</v>
      </c>
      <c r="AL42" s="89">
        <f t="shared" si="34"/>
        <v>4857500</v>
      </c>
      <c r="AM42" s="89">
        <f t="shared" si="34"/>
        <v>4857500</v>
      </c>
      <c r="AN42" s="89">
        <f t="shared" si="34"/>
        <v>4857500</v>
      </c>
      <c r="AO42" s="89">
        <f t="shared" si="34"/>
        <v>4857500</v>
      </c>
      <c r="AP42" s="89">
        <f t="shared" si="34"/>
        <v>4857500</v>
      </c>
    </row>
    <row r="43" spans="2:42">
      <c r="B43" s="24"/>
      <c r="C43" s="24"/>
      <c r="D43" s="24"/>
      <c r="E43" s="24"/>
      <c r="F43" s="24"/>
      <c r="G43" s="78"/>
      <c r="H43" s="78"/>
      <c r="I43" s="78"/>
      <c r="J43" s="78"/>
      <c r="K43" s="78"/>
      <c r="L43" s="78"/>
      <c r="M43" s="78"/>
      <c r="N43" s="78"/>
      <c r="O43" s="78"/>
      <c r="P43" s="78"/>
      <c r="Q43" s="78"/>
      <c r="R43" s="78"/>
      <c r="S43" s="78"/>
      <c r="T43" s="78"/>
      <c r="U43" s="78"/>
      <c r="V43" s="78"/>
      <c r="W43" s="78"/>
      <c r="X43" s="78"/>
      <c r="Y43" s="78"/>
      <c r="Z43" s="78"/>
      <c r="AA43" s="78"/>
      <c r="AB43" s="78"/>
      <c r="AC43" s="78"/>
      <c r="AD43" s="78"/>
      <c r="AE43" s="78"/>
      <c r="AF43" s="78"/>
    </row>
    <row r="44" spans="2:42">
      <c r="F44" s="78"/>
      <c r="G44" s="78"/>
      <c r="H44" s="78"/>
      <c r="I44" s="78"/>
      <c r="J44" s="78"/>
      <c r="K44" s="78"/>
      <c r="L44" s="78"/>
      <c r="M44" s="78"/>
      <c r="N44" s="78"/>
      <c r="O44" s="78"/>
      <c r="P44" s="78"/>
      <c r="Q44" s="78"/>
      <c r="R44" s="78"/>
      <c r="S44" s="78"/>
      <c r="T44" s="78"/>
      <c r="U44" s="78"/>
      <c r="V44" s="78"/>
      <c r="W44" s="78"/>
      <c r="X44" s="78"/>
      <c r="Y44" s="78"/>
      <c r="Z44" s="78"/>
      <c r="AA44" s="78"/>
      <c r="AB44" s="78"/>
      <c r="AC44" s="78"/>
      <c r="AD44" s="78"/>
      <c r="AE44" s="78"/>
      <c r="AF44" s="78"/>
    </row>
    <row r="45" spans="2:42">
      <c r="F45" s="78"/>
      <c r="G45" s="78"/>
      <c r="H45" s="78"/>
      <c r="I45" s="78"/>
      <c r="J45" s="78"/>
      <c r="K45" s="78"/>
      <c r="L45" s="78"/>
      <c r="M45" s="78"/>
      <c r="N45" s="78"/>
      <c r="O45" s="78"/>
      <c r="P45" s="78"/>
      <c r="Q45" s="78"/>
      <c r="R45" s="78"/>
      <c r="S45" s="78"/>
      <c r="T45" s="78"/>
      <c r="U45" s="78"/>
      <c r="V45" s="78"/>
      <c r="W45" s="78"/>
      <c r="X45" s="78"/>
      <c r="Y45" s="78"/>
      <c r="Z45" s="78"/>
      <c r="AA45" s="78"/>
      <c r="AB45" s="78"/>
      <c r="AC45" s="78"/>
      <c r="AD45" s="78"/>
      <c r="AE45" s="78"/>
      <c r="AF45" s="78"/>
    </row>
  </sheetData>
  <sheetProtection sheet="1" selectLockedCells="1" selectUnlockedCells="1"/>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6B7A8"/>
  </sheetPr>
  <dimension ref="A1:X31"/>
  <sheetViews>
    <sheetView showGridLines="0" workbookViewId="0">
      <pane ySplit="3" topLeftCell="A4" activePane="bottomLeft" state="frozen"/>
      <selection activeCell="H20" sqref="H20"/>
      <selection pane="bottomLeft" activeCell="F29" sqref="F29"/>
    </sheetView>
  </sheetViews>
  <sheetFormatPr defaultColWidth="8.6328125" defaultRowHeight="11.5"/>
  <cols>
    <col min="1" max="1" width="8.6328125" style="131"/>
    <col min="2" max="2" width="52.36328125" style="131" customWidth="1"/>
    <col min="3" max="3" width="1.36328125" style="131" customWidth="1"/>
    <col min="4" max="4" width="9" style="131" customWidth="1"/>
    <col min="5" max="5" width="1.36328125" style="131" customWidth="1"/>
    <col min="6" max="6" width="11.1796875" style="131" customWidth="1"/>
    <col min="7" max="7" width="1.36328125" style="131" customWidth="1"/>
    <col min="8" max="8" width="12.6328125" style="131" customWidth="1"/>
    <col min="9" max="9" width="1.36328125" style="131" customWidth="1"/>
    <col min="10" max="10" width="12.81640625" style="131" customWidth="1"/>
    <col min="11" max="11" width="1.36328125" style="131" customWidth="1"/>
    <col min="12" max="12" width="14.81640625" style="131" customWidth="1"/>
    <col min="13" max="13" width="1.453125" style="131" customWidth="1"/>
    <col min="14" max="14" width="13.6328125" style="131" bestFit="1" customWidth="1"/>
    <col min="15" max="15" width="10.36328125" style="131" customWidth="1"/>
    <col min="16" max="16384" width="8.6328125" style="131"/>
  </cols>
  <sheetData>
    <row r="1" spans="1:24">
      <c r="A1" s="11"/>
      <c r="S1" s="204"/>
      <c r="X1" s="11"/>
    </row>
    <row r="3" spans="1:24" ht="14.5">
      <c r="B3" s="201" t="s">
        <v>150</v>
      </c>
      <c r="C3" s="202"/>
      <c r="D3" s="201" t="s">
        <v>0</v>
      </c>
      <c r="E3" s="202"/>
      <c r="F3" s="201" t="s">
        <v>103</v>
      </c>
      <c r="G3" s="202"/>
      <c r="H3" s="201" t="s">
        <v>151</v>
      </c>
      <c r="I3" s="203"/>
      <c r="J3" s="201" t="s">
        <v>152</v>
      </c>
      <c r="K3" s="203"/>
      <c r="L3" s="201" t="s">
        <v>153</v>
      </c>
      <c r="M3" s="203"/>
      <c r="N3" s="201" t="s">
        <v>154</v>
      </c>
      <c r="O3" s="129"/>
    </row>
    <row r="4" spans="1:24" ht="14.5">
      <c r="B4" s="133" t="s">
        <v>132</v>
      </c>
      <c r="C4" s="137"/>
      <c r="D4" s="138" t="s">
        <v>142</v>
      </c>
      <c r="E4" s="137"/>
      <c r="F4" s="154">
        <v>33500</v>
      </c>
      <c r="G4" s="139"/>
      <c r="H4" s="154">
        <v>52500</v>
      </c>
      <c r="I4" s="139"/>
      <c r="J4" s="155">
        <v>55000</v>
      </c>
      <c r="K4" s="140"/>
      <c r="L4" s="154">
        <v>52000</v>
      </c>
      <c r="M4" s="141"/>
      <c r="N4" s="154">
        <v>74300</v>
      </c>
    </row>
    <row r="5" spans="1:24" ht="14.5">
      <c r="B5" s="133" t="s">
        <v>30</v>
      </c>
      <c r="C5" s="137"/>
      <c r="D5" s="138" t="s">
        <v>14</v>
      </c>
      <c r="E5" s="137"/>
      <c r="F5" s="139">
        <v>0</v>
      </c>
      <c r="G5" s="139"/>
      <c r="H5" s="139">
        <v>0</v>
      </c>
      <c r="I5" s="139"/>
      <c r="J5" s="140">
        <v>10</v>
      </c>
      <c r="K5" s="140"/>
      <c r="L5" s="141">
        <v>8.5</v>
      </c>
      <c r="M5" s="141"/>
      <c r="N5" s="141">
        <v>1</v>
      </c>
    </row>
    <row r="6" spans="1:24" ht="14.5">
      <c r="B6" s="133" t="s">
        <v>53</v>
      </c>
      <c r="C6" s="137"/>
      <c r="D6" s="138" t="s">
        <v>14</v>
      </c>
      <c r="E6" s="137"/>
      <c r="F6" s="139">
        <v>19</v>
      </c>
      <c r="G6" s="139"/>
      <c r="H6" s="142">
        <v>29</v>
      </c>
      <c r="I6" s="142"/>
      <c r="J6" s="140">
        <v>80</v>
      </c>
      <c r="K6" s="140"/>
      <c r="L6" s="141">
        <v>55</v>
      </c>
      <c r="M6" s="141"/>
      <c r="N6" s="141">
        <v>30</v>
      </c>
    </row>
    <row r="7" spans="1:24" ht="14.5">
      <c r="B7" s="133" t="s">
        <v>41</v>
      </c>
      <c r="C7" s="137"/>
      <c r="D7" s="138" t="s">
        <v>162</v>
      </c>
      <c r="E7" s="137"/>
      <c r="F7" s="143"/>
      <c r="G7" s="143"/>
      <c r="H7" s="143"/>
      <c r="I7" s="143"/>
      <c r="J7" s="144">
        <v>3840</v>
      </c>
      <c r="K7" s="144"/>
      <c r="L7" s="141">
        <v>3240</v>
      </c>
      <c r="M7" s="141"/>
      <c r="N7" s="141"/>
    </row>
    <row r="8" spans="1:24" ht="14.5">
      <c r="B8" s="133" t="s">
        <v>166</v>
      </c>
      <c r="C8" s="137"/>
      <c r="D8" s="138" t="s">
        <v>163</v>
      </c>
      <c r="E8" s="137"/>
      <c r="F8" s="143"/>
      <c r="G8" s="143"/>
      <c r="H8" s="143"/>
      <c r="I8" s="143"/>
      <c r="J8" s="144">
        <v>3200</v>
      </c>
      <c r="K8" s="144"/>
      <c r="L8" s="141">
        <v>2300</v>
      </c>
      <c r="M8" s="141"/>
      <c r="N8" s="141"/>
    </row>
    <row r="9" spans="1:24" ht="14.5">
      <c r="B9" s="133" t="s">
        <v>43</v>
      </c>
      <c r="C9" s="137"/>
      <c r="D9" s="138" t="s">
        <v>47</v>
      </c>
      <c r="E9" s="137"/>
      <c r="F9" s="143"/>
      <c r="G9" s="143"/>
      <c r="H9" s="143"/>
      <c r="I9" s="143"/>
      <c r="J9" s="157">
        <v>1.2</v>
      </c>
      <c r="K9" s="144"/>
      <c r="L9" s="141">
        <v>1.41</v>
      </c>
      <c r="M9" s="141"/>
      <c r="N9" s="141"/>
    </row>
    <row r="10" spans="1:24" ht="14.5">
      <c r="B10" s="133" t="s">
        <v>167</v>
      </c>
      <c r="C10" s="137"/>
      <c r="D10" s="138" t="s">
        <v>164</v>
      </c>
      <c r="E10" s="137"/>
      <c r="F10" s="143"/>
      <c r="G10" s="143"/>
      <c r="H10" s="143"/>
      <c r="I10" s="143"/>
      <c r="J10" s="144">
        <v>2967.35</v>
      </c>
      <c r="K10" s="144"/>
      <c r="L10" s="141">
        <v>1834.35</v>
      </c>
      <c r="M10" s="141"/>
      <c r="N10" s="141"/>
    </row>
    <row r="11" spans="1:24" ht="14.5">
      <c r="B11" s="133" t="s">
        <v>50</v>
      </c>
      <c r="C11" s="137"/>
      <c r="D11" s="138" t="s">
        <v>14</v>
      </c>
      <c r="E11" s="137"/>
      <c r="F11" s="143"/>
      <c r="G11" s="143"/>
      <c r="H11" s="143"/>
      <c r="I11" s="143"/>
      <c r="J11" s="156">
        <v>0.05</v>
      </c>
      <c r="K11" s="144"/>
      <c r="L11" s="156">
        <v>0.05</v>
      </c>
      <c r="M11" s="141"/>
      <c r="N11" s="141"/>
    </row>
    <row r="12" spans="1:24" ht="14.5">
      <c r="B12" s="133" t="s">
        <v>18</v>
      </c>
      <c r="C12" s="137"/>
      <c r="D12" s="138" t="s">
        <v>14</v>
      </c>
      <c r="E12" s="137"/>
      <c r="F12" s="142">
        <v>95</v>
      </c>
      <c r="G12" s="142"/>
      <c r="H12" s="142">
        <v>95</v>
      </c>
      <c r="I12" s="142"/>
      <c r="J12" s="144"/>
      <c r="K12" s="144"/>
      <c r="L12" s="141"/>
      <c r="M12" s="141"/>
      <c r="N12" s="141"/>
    </row>
    <row r="13" spans="1:24" ht="14.5">
      <c r="B13" s="133" t="s">
        <v>168</v>
      </c>
      <c r="C13" s="137"/>
      <c r="D13" s="138" t="s">
        <v>14</v>
      </c>
      <c r="E13" s="137"/>
      <c r="F13" s="142">
        <v>1</v>
      </c>
      <c r="G13" s="142"/>
      <c r="H13" s="139">
        <v>1.6</v>
      </c>
      <c r="I13" s="139"/>
      <c r="J13" s="144"/>
      <c r="K13" s="144"/>
      <c r="L13" s="141"/>
      <c r="M13" s="141"/>
      <c r="N13" s="141"/>
    </row>
    <row r="14" spans="1:24" ht="14.5">
      <c r="B14" s="133" t="s">
        <v>22</v>
      </c>
      <c r="C14" s="137"/>
      <c r="D14" s="138"/>
      <c r="E14" s="137"/>
      <c r="F14" s="145">
        <v>1.4</v>
      </c>
      <c r="G14" s="142"/>
      <c r="H14" s="146">
        <v>9.7000000000000003E-3</v>
      </c>
      <c r="I14" s="147"/>
      <c r="J14" s="148">
        <v>4.3899999999999997</v>
      </c>
      <c r="K14" s="139"/>
      <c r="L14" s="145">
        <v>4.3</v>
      </c>
      <c r="M14" s="141"/>
      <c r="N14" s="149">
        <v>3.56</v>
      </c>
    </row>
    <row r="15" spans="1:24" ht="14.5">
      <c r="B15" s="133" t="s">
        <v>20</v>
      </c>
      <c r="C15" s="137"/>
      <c r="D15" s="138" t="s">
        <v>14</v>
      </c>
      <c r="E15" s="137"/>
      <c r="F15" s="139">
        <v>5.72</v>
      </c>
      <c r="G15" s="139"/>
      <c r="H15" s="142">
        <v>5</v>
      </c>
      <c r="I15" s="142"/>
      <c r="J15" s="144">
        <v>5.72</v>
      </c>
      <c r="K15" s="144"/>
      <c r="L15" s="141">
        <v>5.72</v>
      </c>
      <c r="M15" s="141"/>
      <c r="N15" s="141">
        <v>5.72</v>
      </c>
    </row>
    <row r="16" spans="1:24" ht="14.5">
      <c r="B16" s="133" t="s">
        <v>62</v>
      </c>
      <c r="C16" s="137"/>
      <c r="D16" s="138" t="s">
        <v>14</v>
      </c>
      <c r="E16" s="137"/>
      <c r="F16" s="139">
        <v>0.35</v>
      </c>
      <c r="G16" s="139"/>
      <c r="H16" s="139">
        <v>0.25</v>
      </c>
      <c r="I16" s="139"/>
      <c r="J16" s="139"/>
      <c r="K16" s="144"/>
      <c r="L16" s="139"/>
      <c r="M16" s="141"/>
      <c r="N16" s="139">
        <v>0.35</v>
      </c>
    </row>
    <row r="17" spans="2:14" ht="14.5">
      <c r="B17" s="133" t="s">
        <v>1</v>
      </c>
      <c r="C17" s="137"/>
      <c r="D17" s="138" t="s">
        <v>14</v>
      </c>
      <c r="E17" s="137"/>
      <c r="F17" s="139">
        <v>30</v>
      </c>
      <c r="G17" s="139"/>
      <c r="H17" s="139">
        <v>30</v>
      </c>
      <c r="I17" s="139"/>
      <c r="J17" s="144">
        <v>30</v>
      </c>
      <c r="K17" s="144"/>
      <c r="L17" s="141">
        <v>30</v>
      </c>
      <c r="M17" s="141"/>
      <c r="N17" s="141">
        <v>30</v>
      </c>
    </row>
    <row r="18" spans="2:14" ht="14.5">
      <c r="B18" s="133" t="s">
        <v>23</v>
      </c>
      <c r="C18" s="137"/>
      <c r="D18" s="138" t="s">
        <v>11</v>
      </c>
      <c r="E18" s="137"/>
      <c r="F18" s="141">
        <v>10</v>
      </c>
      <c r="G18" s="141"/>
      <c r="H18" s="141">
        <v>10</v>
      </c>
      <c r="I18" s="141"/>
      <c r="J18" s="144">
        <v>10</v>
      </c>
      <c r="K18" s="144"/>
      <c r="L18" s="141">
        <v>10</v>
      </c>
      <c r="M18" s="141"/>
      <c r="N18" s="141">
        <v>13</v>
      </c>
    </row>
    <row r="19" spans="2:14" ht="14.5">
      <c r="B19" s="133" t="s">
        <v>26</v>
      </c>
      <c r="C19" s="137"/>
      <c r="D19" s="138" t="s">
        <v>11</v>
      </c>
      <c r="E19" s="137"/>
      <c r="F19" s="141">
        <v>1</v>
      </c>
      <c r="G19" s="141"/>
      <c r="H19" s="141">
        <v>1</v>
      </c>
      <c r="I19" s="141"/>
      <c r="J19" s="144">
        <v>1</v>
      </c>
      <c r="K19" s="144"/>
      <c r="L19" s="141">
        <v>1</v>
      </c>
      <c r="M19" s="141"/>
      <c r="N19" s="141">
        <v>1</v>
      </c>
    </row>
    <row r="20" spans="2:14" ht="14.5">
      <c r="B20" s="133" t="s">
        <v>21</v>
      </c>
      <c r="C20" s="137"/>
      <c r="D20" s="138" t="s">
        <v>14</v>
      </c>
      <c r="E20" s="137"/>
      <c r="F20" s="142">
        <v>10.55</v>
      </c>
      <c r="G20" s="142"/>
      <c r="H20" s="139">
        <v>9.9499999999999993</v>
      </c>
      <c r="I20" s="139"/>
      <c r="J20" s="144">
        <v>9.9499999999999993</v>
      </c>
      <c r="K20" s="144"/>
      <c r="L20" s="141">
        <v>9.9499999999999993</v>
      </c>
      <c r="M20" s="141"/>
      <c r="N20" s="141">
        <v>9.9700000000000006</v>
      </c>
    </row>
    <row r="21" spans="2:14" ht="14.5">
      <c r="B21" s="133" t="s">
        <v>24</v>
      </c>
      <c r="C21" s="137"/>
      <c r="D21" s="138" t="s">
        <v>7</v>
      </c>
      <c r="E21" s="137"/>
      <c r="F21" s="141">
        <v>1</v>
      </c>
      <c r="G21" s="141"/>
      <c r="H21" s="141">
        <v>1</v>
      </c>
      <c r="I21" s="141"/>
      <c r="J21" s="144">
        <v>1</v>
      </c>
      <c r="K21" s="144"/>
      <c r="L21" s="141">
        <v>1</v>
      </c>
      <c r="M21" s="141"/>
      <c r="N21" s="141">
        <v>1</v>
      </c>
    </row>
    <row r="22" spans="2:14" ht="14.5">
      <c r="B22" s="133" t="s">
        <v>170</v>
      </c>
      <c r="C22" s="137"/>
      <c r="D22" s="138" t="s">
        <v>7</v>
      </c>
      <c r="E22" s="137"/>
      <c r="F22" s="141">
        <v>2</v>
      </c>
      <c r="G22" s="141"/>
      <c r="H22" s="141">
        <v>2</v>
      </c>
      <c r="I22" s="141"/>
      <c r="J22" s="144">
        <v>2</v>
      </c>
      <c r="K22" s="144"/>
      <c r="L22" s="141">
        <v>2</v>
      </c>
      <c r="M22" s="141"/>
      <c r="N22" s="141">
        <v>2</v>
      </c>
    </row>
    <row r="23" spans="2:14" ht="14.5">
      <c r="B23" s="133" t="s">
        <v>8</v>
      </c>
      <c r="C23" s="137"/>
      <c r="D23" s="138" t="s">
        <v>14</v>
      </c>
      <c r="E23" s="137"/>
      <c r="F23" s="139">
        <v>11.55</v>
      </c>
      <c r="G23" s="139"/>
      <c r="H23" s="139">
        <v>10.95</v>
      </c>
      <c r="I23" s="139"/>
      <c r="J23" s="144">
        <v>10.95</v>
      </c>
      <c r="K23" s="144"/>
      <c r="L23" s="141">
        <v>10.95</v>
      </c>
      <c r="M23" s="141"/>
      <c r="N23" s="141">
        <v>10.97</v>
      </c>
    </row>
    <row r="24" spans="2:14" ht="39">
      <c r="B24" s="133" t="s">
        <v>171</v>
      </c>
      <c r="C24" s="137"/>
      <c r="D24" s="138" t="s">
        <v>14</v>
      </c>
      <c r="E24" s="137"/>
      <c r="F24" s="139">
        <v>3.6</v>
      </c>
      <c r="G24" s="139"/>
      <c r="H24" s="139">
        <v>3.6</v>
      </c>
      <c r="I24" s="139"/>
      <c r="J24" s="141">
        <v>4.5</v>
      </c>
      <c r="K24" s="144"/>
      <c r="L24" s="141">
        <v>4.5</v>
      </c>
      <c r="M24" s="141"/>
      <c r="N24" s="150" t="s">
        <v>155</v>
      </c>
    </row>
    <row r="25" spans="2:14" ht="14.5">
      <c r="B25" s="133" t="s">
        <v>169</v>
      </c>
      <c r="C25" s="137"/>
      <c r="D25" s="138" t="s">
        <v>14</v>
      </c>
      <c r="E25" s="137"/>
      <c r="F25" s="139">
        <v>95</v>
      </c>
      <c r="G25" s="139"/>
      <c r="H25" s="139">
        <v>95</v>
      </c>
      <c r="I25" s="139"/>
      <c r="J25" s="140">
        <v>85</v>
      </c>
      <c r="K25" s="144"/>
      <c r="L25" s="141">
        <v>85</v>
      </c>
      <c r="M25" s="141"/>
      <c r="N25" s="150"/>
    </row>
    <row r="26" spans="2:14" ht="14.5">
      <c r="B26" s="133" t="s">
        <v>10</v>
      </c>
      <c r="C26" s="137"/>
      <c r="D26" s="138" t="s">
        <v>14</v>
      </c>
      <c r="E26" s="137"/>
      <c r="F26" s="139">
        <v>9.5299999999999994</v>
      </c>
      <c r="G26" s="139"/>
      <c r="H26" s="139">
        <v>8.75</v>
      </c>
      <c r="I26" s="139"/>
      <c r="J26" s="144"/>
      <c r="K26" s="144"/>
      <c r="L26" s="141"/>
      <c r="M26" s="141"/>
      <c r="N26" s="141"/>
    </row>
    <row r="27" spans="2:14" ht="14.5">
      <c r="B27" s="133" t="s">
        <v>9</v>
      </c>
      <c r="C27" s="137"/>
      <c r="D27" s="138" t="s">
        <v>14</v>
      </c>
      <c r="E27" s="137"/>
      <c r="F27" s="139">
        <v>17.600000000000001</v>
      </c>
      <c r="G27" s="139"/>
      <c r="H27" s="139">
        <v>17.559999999999999</v>
      </c>
      <c r="I27" s="139"/>
      <c r="J27" s="140">
        <v>17.559999999999999</v>
      </c>
      <c r="K27" s="140"/>
      <c r="L27" s="141">
        <v>17.559999999999999</v>
      </c>
      <c r="M27" s="141"/>
      <c r="N27" s="141">
        <v>17.559999999999999</v>
      </c>
    </row>
    <row r="28" spans="2:14" ht="14.5">
      <c r="B28" s="133" t="s">
        <v>165</v>
      </c>
      <c r="C28" s="137"/>
      <c r="D28" s="138" t="s">
        <v>11</v>
      </c>
      <c r="E28" s="137"/>
      <c r="F28" s="141">
        <v>25</v>
      </c>
      <c r="G28" s="141"/>
      <c r="H28" s="141">
        <v>25</v>
      </c>
      <c r="I28" s="141"/>
      <c r="J28" s="144">
        <v>20</v>
      </c>
      <c r="K28" s="144"/>
      <c r="L28" s="141">
        <v>20</v>
      </c>
      <c r="M28" s="141"/>
      <c r="N28" s="141">
        <v>35</v>
      </c>
    </row>
    <row r="29" spans="2:14" ht="68.5" customHeight="1">
      <c r="B29" s="151" t="s">
        <v>156</v>
      </c>
      <c r="C29" s="152"/>
      <c r="D29" s="153"/>
      <c r="E29" s="152"/>
      <c r="F29" s="167" t="s">
        <v>157</v>
      </c>
      <c r="G29" s="158"/>
      <c r="H29" s="167" t="s">
        <v>158</v>
      </c>
      <c r="I29" s="158"/>
      <c r="J29" s="167" t="s">
        <v>159</v>
      </c>
      <c r="K29" s="158"/>
      <c r="L29" s="167" t="s">
        <v>160</v>
      </c>
      <c r="M29" s="158"/>
      <c r="N29" s="167" t="s">
        <v>161</v>
      </c>
    </row>
    <row r="30" spans="2:14" ht="13.5">
      <c r="B30" s="134"/>
      <c r="D30" s="135"/>
      <c r="F30" s="136"/>
      <c r="G30" s="136"/>
      <c r="H30" s="136"/>
      <c r="I30" s="136"/>
      <c r="J30" s="136"/>
      <c r="K30" s="136"/>
      <c r="L30" s="136"/>
      <c r="M30" s="136"/>
      <c r="N30" s="136"/>
    </row>
    <row r="31" spans="2:14" ht="14.5">
      <c r="B31" s="132"/>
      <c r="C31" s="132"/>
      <c r="D31" s="132"/>
      <c r="E31" s="132"/>
      <c r="F31" s="130"/>
      <c r="G31" s="130"/>
    </row>
  </sheetData>
  <sheetProtection sheet="1" selectLockedCells="1"/>
  <hyperlinks>
    <hyperlink ref="F29" r:id="rId1"/>
    <hyperlink ref="H29" r:id="rId2"/>
    <hyperlink ref="J29" r:id="rId3"/>
    <hyperlink ref="L29" r:id="rId4"/>
    <hyperlink ref="N29" r:id="rId5"/>
  </hyperlinks>
  <pageMargins left="0.7" right="0.7" top="0.75" bottom="0.75" header="0.3" footer="0.3"/>
  <legacyDrawing r:id="rId6"/>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2"/>
  </sheetPr>
  <dimension ref="A1:N67"/>
  <sheetViews>
    <sheetView showGridLines="0" tabSelected="1" zoomScaleNormal="100" workbookViewId="0">
      <pane ySplit="5" topLeftCell="A6" activePane="bottomLeft" state="frozen"/>
      <selection pane="bottomLeft" activeCell="F52" sqref="F52"/>
    </sheetView>
  </sheetViews>
  <sheetFormatPr defaultColWidth="8.81640625" defaultRowHeight="11.5"/>
  <cols>
    <col min="1" max="1" width="6.6328125" style="19" customWidth="1"/>
    <col min="2" max="2" width="45.36328125" style="3" customWidth="1"/>
    <col min="3" max="3" width="2.6328125" style="3" customWidth="1"/>
    <col min="4" max="4" width="8.1796875" style="3" customWidth="1"/>
    <col min="5" max="5" width="2.6328125" style="3" customWidth="1"/>
    <col min="6" max="6" width="12.81640625" style="3" customWidth="1"/>
    <col min="7" max="7" width="8.81640625" style="19"/>
    <col min="8" max="8" width="1.6328125" style="19" customWidth="1"/>
    <col min="9" max="9" width="8.81640625" style="19"/>
    <col min="10" max="10" width="2.6328125" style="19" customWidth="1"/>
    <col min="11" max="11" width="37.81640625" style="19" customWidth="1"/>
    <col min="12" max="12" width="10.1796875" style="19" customWidth="1"/>
    <col min="13" max="13" width="10.453125" style="19" bestFit="1" customWidth="1"/>
    <col min="14" max="16384" width="8.81640625" style="19"/>
  </cols>
  <sheetData>
    <row r="1" spans="1:14">
      <c r="B1" s="19"/>
      <c r="C1" s="19"/>
      <c r="D1" s="19"/>
      <c r="E1" s="19"/>
      <c r="F1" s="19"/>
    </row>
    <row r="2" spans="1:14">
      <c r="B2" s="19"/>
      <c r="C2" s="19"/>
      <c r="D2" s="19"/>
      <c r="E2" s="19"/>
      <c r="F2" s="19"/>
    </row>
    <row r="3" spans="1:14" ht="15">
      <c r="B3" s="19"/>
      <c r="C3" s="19"/>
      <c r="D3" s="230" t="s">
        <v>134</v>
      </c>
      <c r="E3" s="19"/>
      <c r="F3" s="15"/>
    </row>
    <row r="4" spans="1:14">
      <c r="B4" s="19"/>
      <c r="C4" s="19"/>
      <c r="D4" s="19"/>
      <c r="E4" s="19"/>
      <c r="F4" s="19"/>
    </row>
    <row r="5" spans="1:14">
      <c r="B5" s="19"/>
      <c r="C5" s="19"/>
      <c r="D5" s="19"/>
      <c r="E5" s="19"/>
      <c r="F5" s="19"/>
    </row>
    <row r="6" spans="1:14">
      <c r="B6" s="19"/>
      <c r="C6" s="19"/>
      <c r="D6" s="19"/>
      <c r="E6" s="19"/>
      <c r="F6" s="19"/>
    </row>
    <row r="7" spans="1:14">
      <c r="B7" s="19"/>
      <c r="C7" s="19"/>
      <c r="D7" s="19"/>
      <c r="E7" s="19"/>
      <c r="F7" s="19"/>
      <c r="I7" s="24"/>
    </row>
    <row r="8" spans="1:14" ht="14">
      <c r="A8" s="51"/>
      <c r="B8" s="247" t="s">
        <v>81</v>
      </c>
      <c r="C8" s="248"/>
      <c r="D8" s="248"/>
      <c r="E8" s="248"/>
      <c r="F8" s="248"/>
      <c r="I8" s="79" t="s">
        <v>232</v>
      </c>
      <c r="K8" s="247" t="s">
        <v>207</v>
      </c>
      <c r="L8" s="248"/>
      <c r="M8" s="248"/>
    </row>
    <row r="9" spans="1:14" ht="14.5">
      <c r="A9" s="51"/>
      <c r="B9" s="10"/>
      <c r="C9" s="10"/>
      <c r="D9" s="11"/>
      <c r="E9" s="11"/>
      <c r="F9" s="11"/>
      <c r="I9" s="159"/>
      <c r="K9" s="226"/>
      <c r="L9" s="226"/>
      <c r="M9" s="226"/>
    </row>
    <row r="10" spans="1:14" ht="14.5">
      <c r="A10" s="251"/>
      <c r="B10" s="174" t="s">
        <v>75</v>
      </c>
      <c r="C10" s="12"/>
      <c r="D10" s="174" t="s">
        <v>0</v>
      </c>
      <c r="E10" s="13"/>
      <c r="F10" s="174" t="s">
        <v>80</v>
      </c>
      <c r="I10" s="24"/>
      <c r="K10" s="15" t="s">
        <v>210</v>
      </c>
      <c r="L10" s="17" t="s">
        <v>28</v>
      </c>
      <c r="M10" s="55">
        <f>SolarPV_size</f>
        <v>24</v>
      </c>
    </row>
    <row r="11" spans="1:14" ht="14.5">
      <c r="B11" s="13"/>
      <c r="C11" s="12"/>
      <c r="D11" s="13"/>
      <c r="E11" s="13"/>
      <c r="F11" s="13"/>
      <c r="I11" s="24"/>
      <c r="K11" s="15" t="s">
        <v>66</v>
      </c>
      <c r="L11" s="17" t="s">
        <v>28</v>
      </c>
      <c r="M11" s="55">
        <f>Storage_inverter_capacity</f>
        <v>12</v>
      </c>
      <c r="N11" s="128"/>
    </row>
    <row r="12" spans="1:14" ht="14.5">
      <c r="B12" s="175" t="s">
        <v>82</v>
      </c>
      <c r="C12" s="14"/>
      <c r="D12" s="14"/>
      <c r="E12" s="14"/>
      <c r="F12" s="14"/>
      <c r="I12" s="24"/>
      <c r="K12" s="15" t="s">
        <v>208</v>
      </c>
      <c r="L12" s="17" t="s">
        <v>29</v>
      </c>
      <c r="M12" s="55">
        <f>Storage_power_capacity*Storage_duration</f>
        <v>48</v>
      </c>
      <c r="N12" s="217"/>
    </row>
    <row r="13" spans="1:14" ht="14.5">
      <c r="B13" s="215" t="s">
        <v>205</v>
      </c>
      <c r="C13" s="13"/>
      <c r="D13" s="13" t="s">
        <v>116</v>
      </c>
      <c r="E13" s="13"/>
      <c r="F13" s="216">
        <v>2020</v>
      </c>
      <c r="I13" s="24"/>
      <c r="K13" s="15" t="s">
        <v>209</v>
      </c>
      <c r="L13" s="17" t="s">
        <v>11</v>
      </c>
      <c r="M13" s="169">
        <f>ROUND(Storage_life_cycles/Storage_annual_cycles,0)</f>
        <v>11</v>
      </c>
      <c r="N13" s="217"/>
    </row>
    <row r="14" spans="1:14" ht="13">
      <c r="B14" s="15" t="s">
        <v>204</v>
      </c>
      <c r="C14" s="15"/>
      <c r="D14" s="17" t="s">
        <v>116</v>
      </c>
      <c r="E14" s="17"/>
      <c r="F14" s="176">
        <v>2020</v>
      </c>
      <c r="I14" s="24"/>
      <c r="K14" s="15" t="s">
        <v>221</v>
      </c>
      <c r="L14" s="17" t="s">
        <v>14</v>
      </c>
      <c r="M14" s="225">
        <f>IF(I8="Standalone", "-", IF('LCOS calc'!H95&gt;'LCOS calc'!H94*Storage_excess_solar, Storage_excess_solar, 'LCOS calc'!H95/'LCOS calc'!H94))</f>
        <v>0.43859649122807021</v>
      </c>
      <c r="N14" s="217"/>
    </row>
    <row r="15" spans="1:14" ht="13">
      <c r="A15" s="252"/>
      <c r="B15" s="15" t="s">
        <v>10</v>
      </c>
      <c r="C15" s="15"/>
      <c r="D15" s="17" t="s">
        <v>14</v>
      </c>
      <c r="E15" s="17"/>
      <c r="F15" s="177">
        <v>9.5299999999999996E-2</v>
      </c>
      <c r="K15" s="15" t="s">
        <v>222</v>
      </c>
      <c r="L15" s="17" t="s">
        <v>14</v>
      </c>
      <c r="M15" s="225">
        <f>IF(I8="Standalone", "-", IF('LCOS calc'!H95&gt;'LCOS calc'!H94*Storage_excess_solar, 0, ('LCOS calc'!H94*Storage_excess_solar-'LCOS calc'!H95)/'LCOS calc'!H94))</f>
        <v>6.1403508771929807E-2</v>
      </c>
      <c r="N15" s="217"/>
    </row>
    <row r="16" spans="1:14" ht="13">
      <c r="A16" s="253"/>
      <c r="B16" s="15" t="s">
        <v>1</v>
      </c>
      <c r="C16" s="15"/>
      <c r="D16" s="17" t="s">
        <v>14</v>
      </c>
      <c r="E16" s="17"/>
      <c r="F16" s="177">
        <v>0.3</v>
      </c>
      <c r="K16" s="15" t="s">
        <v>36</v>
      </c>
      <c r="L16" s="17" t="s">
        <v>15</v>
      </c>
      <c r="M16" s="169">
        <f>Storage_module_capexperkWh*(1-Storage_capitalsubsidy_percentage)*Storage_capacity+Storage_invertercapex_perkW*Storage_inverter_capacity+Storage_rack_capexperkW*Storage_power_capacity+Storage_EPC_capexperkW*Storage_power_capacity+SolarPV_capex_perkW*(1-SolarPV_capitalsubsidy_perkW)*SolarPV_size</f>
        <v>2264400</v>
      </c>
      <c r="N16" s="217"/>
    </row>
    <row r="17" spans="2:13" ht="13" customHeight="1">
      <c r="B17" s="15" t="s">
        <v>9</v>
      </c>
      <c r="C17" s="15"/>
      <c r="D17" s="17" t="s">
        <v>14</v>
      </c>
      <c r="E17" s="17"/>
      <c r="F17" s="177">
        <v>0.17599999999999999</v>
      </c>
      <c r="K17" s="15" t="s">
        <v>1</v>
      </c>
      <c r="L17" s="17" t="s">
        <v>15</v>
      </c>
      <c r="M17" s="170">
        <f>Storage_net_capex*Storage_equity_percentage</f>
        <v>679320</v>
      </c>
    </row>
    <row r="18" spans="2:13" ht="13" customHeight="1">
      <c r="B18" s="15" t="s">
        <v>23</v>
      </c>
      <c r="C18" s="15"/>
      <c r="D18" s="17" t="s">
        <v>11</v>
      </c>
      <c r="E18" s="17"/>
      <c r="F18" s="178">
        <v>10</v>
      </c>
      <c r="K18" s="15" t="s">
        <v>2</v>
      </c>
      <c r="L18" s="17" t="s">
        <v>15</v>
      </c>
      <c r="M18" s="169">
        <f>Storage_net_capex-Storage_equity</f>
        <v>1585080</v>
      </c>
    </row>
    <row r="19" spans="2:13" ht="13" customHeight="1">
      <c r="B19" s="15" t="s">
        <v>26</v>
      </c>
      <c r="C19" s="15"/>
      <c r="D19" s="17" t="s">
        <v>11</v>
      </c>
      <c r="E19" s="17"/>
      <c r="F19" s="178">
        <v>1</v>
      </c>
      <c r="I19" s="23"/>
      <c r="J19" s="23"/>
      <c r="K19" s="15" t="s">
        <v>114</v>
      </c>
      <c r="L19" s="17" t="s">
        <v>15</v>
      </c>
      <c r="M19" s="170">
        <f>(Storage_module_capexperkWh*(1-Storage_capitalsubsidy_percentage)*Storage_capacity*Storage_depreciationrate_storage+Storage_invertercapex_perkW*Storage_inverter_capacity*Storage_depreciationrate_inverter+Storage_rack_capexperkW*Storage_power_capacity*Storage_depreciationrate_storage+Storage_EPC_capexperkW*Storage_power_capacity*Storage_depreciationrate_storage+SolarPV_capex_perkW*(1-SolarPV_capitalsubsidy_perkW)*SolarPV_size*Storage_depreciationrate_solarPV)*Storage_depreciation_on_capexpercentage</f>
        <v>130304.86993006992</v>
      </c>
    </row>
    <row r="20" spans="2:13" ht="15.5">
      <c r="B20" s="15" t="s">
        <v>21</v>
      </c>
      <c r="C20" s="15"/>
      <c r="D20" s="17" t="s">
        <v>14</v>
      </c>
      <c r="E20" s="17"/>
      <c r="F20" s="177">
        <v>0.1055</v>
      </c>
      <c r="K20" s="171"/>
      <c r="L20" s="17"/>
      <c r="M20" s="172"/>
    </row>
    <row r="21" spans="2:13" ht="15.5">
      <c r="B21" s="15" t="s">
        <v>20</v>
      </c>
      <c r="C21" s="15"/>
      <c r="D21" s="17" t="s">
        <v>14</v>
      </c>
      <c r="E21" s="17"/>
      <c r="F21" s="179">
        <v>5.7200000000000001E-2</v>
      </c>
      <c r="I21" s="160"/>
      <c r="J21" s="160"/>
      <c r="K21" s="173"/>
      <c r="L21" s="17"/>
      <c r="M21" s="172"/>
    </row>
    <row r="22" spans="2:13" ht="15.5">
      <c r="B22" s="15" t="s">
        <v>62</v>
      </c>
      <c r="C22" s="15"/>
      <c r="D22" s="17" t="s">
        <v>14</v>
      </c>
      <c r="E22" s="17"/>
      <c r="F22" s="179">
        <v>3.5000000000000001E-3</v>
      </c>
      <c r="K22" s="173"/>
      <c r="L22" s="17"/>
      <c r="M22" s="172"/>
    </row>
    <row r="23" spans="2:13" ht="13">
      <c r="B23" s="15" t="s">
        <v>24</v>
      </c>
      <c r="C23" s="15"/>
      <c r="D23" s="17" t="s">
        <v>7</v>
      </c>
      <c r="E23" s="17"/>
      <c r="F23" s="180">
        <v>1</v>
      </c>
      <c r="K23" s="163"/>
    </row>
    <row r="24" spans="2:13" ht="13">
      <c r="B24" s="15" t="s">
        <v>25</v>
      </c>
      <c r="C24" s="15"/>
      <c r="D24" s="17" t="s">
        <v>7</v>
      </c>
      <c r="E24" s="17"/>
      <c r="F24" s="180">
        <v>2</v>
      </c>
      <c r="K24" s="164"/>
    </row>
    <row r="25" spans="2:13" ht="13">
      <c r="B25" s="15" t="s">
        <v>8</v>
      </c>
      <c r="C25" s="15"/>
      <c r="D25" s="17" t="s">
        <v>14</v>
      </c>
      <c r="E25" s="17"/>
      <c r="F25" s="177">
        <v>0.11550000000000001</v>
      </c>
      <c r="K25" s="160"/>
    </row>
    <row r="26" spans="2:13" ht="13">
      <c r="B26" s="15" t="s">
        <v>33</v>
      </c>
      <c r="C26" s="15"/>
      <c r="D26" s="17" t="s">
        <v>14</v>
      </c>
      <c r="E26" s="17"/>
      <c r="F26" s="177">
        <v>0.95</v>
      </c>
      <c r="I26" s="161"/>
      <c r="J26" s="161"/>
    </row>
    <row r="27" spans="2:13" ht="13">
      <c r="B27" s="15"/>
      <c r="C27" s="15"/>
      <c r="D27" s="17"/>
      <c r="E27" s="17"/>
      <c r="F27" s="241"/>
      <c r="I27" s="161"/>
      <c r="J27" s="161"/>
    </row>
    <row r="28" spans="2:13" ht="14.5">
      <c r="B28" s="175" t="s">
        <v>73</v>
      </c>
      <c r="C28" s="18"/>
      <c r="D28" s="18"/>
      <c r="E28" s="18"/>
      <c r="F28" s="254"/>
      <c r="I28" s="161"/>
      <c r="J28" s="161"/>
    </row>
    <row r="29" spans="2:13" ht="13">
      <c r="B29" s="15" t="s">
        <v>123</v>
      </c>
      <c r="C29" s="15"/>
      <c r="D29" s="16" t="s">
        <v>15</v>
      </c>
      <c r="E29" s="16"/>
      <c r="F29" s="182">
        <v>41000</v>
      </c>
      <c r="I29" s="161"/>
      <c r="J29" s="161"/>
    </row>
    <row r="30" spans="2:13" ht="13">
      <c r="B30" s="15" t="s">
        <v>52</v>
      </c>
      <c r="C30" s="15"/>
      <c r="D30" s="16" t="s">
        <v>15</v>
      </c>
      <c r="E30" s="16"/>
      <c r="F30" s="183">
        <v>0</v>
      </c>
      <c r="I30" s="161"/>
      <c r="J30" s="161"/>
      <c r="K30" s="161"/>
    </row>
    <row r="31" spans="2:13" ht="13">
      <c r="B31" s="15" t="s">
        <v>210</v>
      </c>
      <c r="C31" s="15"/>
      <c r="D31" s="17" t="s">
        <v>28</v>
      </c>
      <c r="E31" s="17"/>
      <c r="F31" s="194">
        <v>24</v>
      </c>
      <c r="I31" s="162"/>
      <c r="J31" s="162"/>
      <c r="K31" s="161"/>
    </row>
    <row r="32" spans="2:13" ht="13">
      <c r="B32" s="15" t="s">
        <v>112</v>
      </c>
      <c r="C32" s="15"/>
      <c r="D32" s="17" t="s">
        <v>11</v>
      </c>
      <c r="E32" s="17"/>
      <c r="F32" s="183">
        <v>25</v>
      </c>
      <c r="I32" s="162"/>
      <c r="J32" s="162"/>
      <c r="K32" s="165"/>
    </row>
    <row r="33" spans="2:11" ht="13">
      <c r="B33" s="15" t="s">
        <v>122</v>
      </c>
      <c r="C33" s="15"/>
      <c r="D33" s="17" t="s">
        <v>14</v>
      </c>
      <c r="E33" s="17"/>
      <c r="F33" s="239">
        <v>0.19</v>
      </c>
      <c r="I33" s="63"/>
      <c r="J33" s="63"/>
      <c r="K33" s="166"/>
    </row>
    <row r="34" spans="2:11" ht="13">
      <c r="B34" s="15" t="s">
        <v>22</v>
      </c>
      <c r="C34" s="15"/>
      <c r="D34" s="17" t="s">
        <v>14</v>
      </c>
      <c r="E34" s="17"/>
      <c r="F34" s="177">
        <v>1.4E-2</v>
      </c>
      <c r="I34" s="63"/>
      <c r="J34" s="63"/>
      <c r="K34" s="161"/>
    </row>
    <row r="35" spans="2:11" ht="13">
      <c r="B35" s="15" t="s">
        <v>113</v>
      </c>
      <c r="C35" s="15"/>
      <c r="D35" s="17" t="s">
        <v>14</v>
      </c>
      <c r="E35" s="17"/>
      <c r="F35" s="177">
        <v>3.5999999999999997E-2</v>
      </c>
      <c r="I35" s="63"/>
      <c r="J35" s="63"/>
      <c r="K35" s="162"/>
    </row>
    <row r="36" spans="2:11" ht="13">
      <c r="B36" s="15" t="s">
        <v>54</v>
      </c>
      <c r="C36" s="15"/>
      <c r="D36" s="17" t="s">
        <v>14</v>
      </c>
      <c r="E36" s="17"/>
      <c r="F36" s="177">
        <v>0.02</v>
      </c>
      <c r="K36" s="162"/>
    </row>
    <row r="37" spans="2:11" ht="13">
      <c r="B37" s="15"/>
      <c r="C37" s="15"/>
      <c r="D37" s="17"/>
      <c r="E37" s="17"/>
      <c r="F37" s="241"/>
    </row>
    <row r="38" spans="2:11" ht="14.5">
      <c r="B38" s="175" t="s">
        <v>227</v>
      </c>
      <c r="C38" s="18"/>
      <c r="D38" s="18"/>
      <c r="E38" s="18"/>
      <c r="F38" s="254"/>
      <c r="I38" s="63"/>
      <c r="J38" s="63"/>
    </row>
    <row r="39" spans="2:11" ht="13">
      <c r="B39" s="15" t="s">
        <v>237</v>
      </c>
      <c r="C39" s="19"/>
      <c r="D39" s="17" t="s">
        <v>142</v>
      </c>
      <c r="E39" s="19"/>
      <c r="F39" s="182">
        <v>20000</v>
      </c>
    </row>
    <row r="40" spans="2:11" ht="13">
      <c r="B40" s="215" t="s">
        <v>66</v>
      </c>
      <c r="C40" s="11"/>
      <c r="D40" s="236" t="s">
        <v>28</v>
      </c>
      <c r="E40" s="11"/>
      <c r="F40" s="193">
        <v>12</v>
      </c>
      <c r="G40" s="229"/>
    </row>
    <row r="41" spans="2:11" ht="13">
      <c r="B41" s="15" t="s">
        <v>126</v>
      </c>
      <c r="C41" s="19"/>
      <c r="D41" s="17" t="s">
        <v>11</v>
      </c>
      <c r="E41" s="19"/>
      <c r="F41" s="185">
        <v>14</v>
      </c>
      <c r="G41" s="229"/>
    </row>
    <row r="42" spans="2:11" ht="13">
      <c r="B42" s="15" t="s">
        <v>127</v>
      </c>
      <c r="C42" s="19"/>
      <c r="D42" s="17" t="s">
        <v>14</v>
      </c>
      <c r="E42" s="19"/>
      <c r="F42" s="184">
        <v>0.6</v>
      </c>
    </row>
    <row r="43" spans="2:11" ht="13">
      <c r="B43" s="15" t="s">
        <v>111</v>
      </c>
      <c r="C43" s="19"/>
      <c r="D43" s="17" t="s">
        <v>14</v>
      </c>
      <c r="E43" s="19"/>
      <c r="F43" s="184">
        <v>0.01</v>
      </c>
    </row>
    <row r="44" spans="2:11" ht="13">
      <c r="B44" s="15" t="s">
        <v>113</v>
      </c>
      <c r="C44" s="15"/>
      <c r="D44" s="17" t="s">
        <v>14</v>
      </c>
      <c r="E44" s="17"/>
      <c r="F44" s="241">
        <f>0.9/(Storage_inverter_replacementyear-1)</f>
        <v>6.9230769230769235E-2</v>
      </c>
      <c r="I44" s="228"/>
    </row>
    <row r="45" spans="2:11">
      <c r="B45" s="11"/>
      <c r="C45" s="11"/>
      <c r="D45" s="11"/>
      <c r="E45" s="11"/>
      <c r="F45" s="255"/>
    </row>
    <row r="46" spans="2:11" ht="14.5">
      <c r="B46" s="175" t="s">
        <v>228</v>
      </c>
      <c r="C46" s="18"/>
      <c r="D46" s="18"/>
      <c r="E46" s="18"/>
      <c r="F46" s="254"/>
    </row>
    <row r="47" spans="2:11" ht="13">
      <c r="B47" s="15" t="s">
        <v>213</v>
      </c>
      <c r="C47" s="19"/>
      <c r="D47" s="17" t="s">
        <v>71</v>
      </c>
      <c r="E47" s="19"/>
      <c r="F47" s="240">
        <v>20000</v>
      </c>
    </row>
    <row r="48" spans="2:11" ht="13">
      <c r="B48" s="15" t="s">
        <v>214</v>
      </c>
      <c r="C48" s="19"/>
      <c r="D48" s="17" t="s">
        <v>71</v>
      </c>
      <c r="E48" s="19"/>
      <c r="F48" s="169">
        <f>F47*VLOOKUP(Storage_base_year, 'Cost projections'!$B$4:$D$49, 3)/VLOOKUP(2020, 'Cost projections'!$B$4:$D$49, 3)</f>
        <v>20000</v>
      </c>
    </row>
    <row r="49" spans="2:6" ht="13">
      <c r="B49" s="15" t="s">
        <v>39</v>
      </c>
      <c r="C49" s="19"/>
      <c r="D49" s="17" t="s">
        <v>14</v>
      </c>
      <c r="E49" s="19"/>
      <c r="F49" s="184">
        <v>0</v>
      </c>
    </row>
    <row r="50" spans="2:6" ht="13">
      <c r="B50" s="15" t="s">
        <v>149</v>
      </c>
      <c r="C50" s="19"/>
      <c r="D50" s="17" t="s">
        <v>142</v>
      </c>
      <c r="E50" s="19"/>
      <c r="F50" s="182">
        <v>5500</v>
      </c>
    </row>
    <row r="51" spans="2:6" ht="13">
      <c r="B51" s="15" t="s">
        <v>124</v>
      </c>
      <c r="C51" s="19"/>
      <c r="D51" s="17" t="s">
        <v>142</v>
      </c>
      <c r="E51" s="19"/>
      <c r="F51" s="182">
        <v>1200</v>
      </c>
    </row>
    <row r="52" spans="2:6" ht="13">
      <c r="B52" s="15" t="s">
        <v>231</v>
      </c>
      <c r="C52" s="19"/>
      <c r="D52" s="17" t="s">
        <v>28</v>
      </c>
      <c r="E52" s="19"/>
      <c r="F52" s="193">
        <v>12</v>
      </c>
    </row>
    <row r="53" spans="2:6" ht="13">
      <c r="B53" s="15" t="s">
        <v>223</v>
      </c>
      <c r="C53" s="19"/>
      <c r="D53" s="17" t="s">
        <v>235</v>
      </c>
      <c r="E53" s="19"/>
      <c r="F53" s="193">
        <v>4</v>
      </c>
    </row>
    <row r="54" spans="2:6" ht="13">
      <c r="B54" s="15" t="s">
        <v>37</v>
      </c>
      <c r="C54" s="19"/>
      <c r="D54" s="17" t="s">
        <v>14</v>
      </c>
      <c r="E54" s="19"/>
      <c r="F54" s="188">
        <v>0.97</v>
      </c>
    </row>
    <row r="55" spans="2:6" ht="13">
      <c r="B55" s="15" t="s">
        <v>38</v>
      </c>
      <c r="C55" s="19"/>
      <c r="D55" s="17" t="s">
        <v>14</v>
      </c>
      <c r="E55" s="19"/>
      <c r="F55" s="188">
        <v>0.8</v>
      </c>
    </row>
    <row r="56" spans="2:6" ht="13">
      <c r="B56" s="15" t="s">
        <v>225</v>
      </c>
      <c r="C56" s="19"/>
      <c r="D56" s="17" t="s">
        <v>229</v>
      </c>
      <c r="E56" s="19"/>
      <c r="F56" s="185">
        <v>365</v>
      </c>
    </row>
    <row r="57" spans="2:6" ht="13">
      <c r="B57" s="15" t="s">
        <v>226</v>
      </c>
      <c r="C57" s="19"/>
      <c r="D57" s="17" t="s">
        <v>14</v>
      </c>
      <c r="E57" s="19"/>
      <c r="F57" s="184">
        <v>0.8</v>
      </c>
    </row>
    <row r="58" spans="2:6" ht="13">
      <c r="B58" s="15" t="s">
        <v>230</v>
      </c>
      <c r="C58" s="19"/>
      <c r="D58" s="17" t="s">
        <v>229</v>
      </c>
      <c r="E58" s="19"/>
      <c r="F58" s="182">
        <v>4000</v>
      </c>
    </row>
    <row r="59" spans="2:6" ht="13">
      <c r="B59" s="15" t="s">
        <v>109</v>
      </c>
      <c r="C59" s="19"/>
      <c r="D59" s="17" t="s">
        <v>11</v>
      </c>
      <c r="E59" s="19"/>
      <c r="F59" s="185">
        <v>13</v>
      </c>
    </row>
    <row r="60" spans="2:6" ht="13">
      <c r="B60" s="15" t="s">
        <v>106</v>
      </c>
      <c r="C60" s="19"/>
      <c r="D60" s="17" t="s">
        <v>14</v>
      </c>
      <c r="E60" s="19"/>
      <c r="F60" s="237">
        <f>1-Storage_endoflife_capacity^(1/Storage_life_cycles)</f>
        <v>5.5784331824848543E-5</v>
      </c>
    </row>
    <row r="61" spans="2:6" ht="13">
      <c r="B61" s="15" t="s">
        <v>105</v>
      </c>
      <c r="C61" s="19"/>
      <c r="D61" s="17" t="s">
        <v>14</v>
      </c>
      <c r="E61" s="19"/>
      <c r="F61" s="238">
        <f>1-Storage_endoflife_capacity^(1/Storage_shelf_life)</f>
        <v>1.7018411149872348E-2</v>
      </c>
    </row>
    <row r="62" spans="2:6" ht="13">
      <c r="B62" s="15" t="s">
        <v>219</v>
      </c>
      <c r="C62" s="19"/>
      <c r="D62" s="17" t="s">
        <v>14</v>
      </c>
      <c r="E62" s="19"/>
      <c r="F62" s="189">
        <v>0.5</v>
      </c>
    </row>
    <row r="63" spans="2:6" ht="13">
      <c r="B63" s="15" t="s">
        <v>110</v>
      </c>
      <c r="C63" s="19"/>
      <c r="D63" s="17" t="s">
        <v>14</v>
      </c>
      <c r="E63" s="19"/>
      <c r="F63" s="187">
        <v>6.7999999999999996E-3</v>
      </c>
    </row>
    <row r="64" spans="2:6" ht="13">
      <c r="B64" s="15" t="s">
        <v>113</v>
      </c>
      <c r="C64" s="15"/>
      <c r="D64" s="17" t="s">
        <v>14</v>
      </c>
      <c r="E64" s="17"/>
      <c r="F64" s="241">
        <f>0.9/Storage_life</f>
        <v>8.1818181818181818E-2</v>
      </c>
    </row>
    <row r="65" spans="2:6" ht="13">
      <c r="B65" s="151" t="s">
        <v>220</v>
      </c>
      <c r="C65" s="81"/>
      <c r="D65" s="82"/>
      <c r="E65" s="19"/>
      <c r="F65" s="227" t="s">
        <v>95</v>
      </c>
    </row>
    <row r="66" spans="2:6" ht="13">
      <c r="B66" s="151" t="s">
        <v>218</v>
      </c>
      <c r="C66" s="19"/>
      <c r="D66" s="17" t="s">
        <v>71</v>
      </c>
      <c r="E66" s="19"/>
      <c r="F66" s="190">
        <f>VLOOKUP(Storage_charging_source,'Storage charging cost'!B4:D18,3,0)</f>
        <v>6.35</v>
      </c>
    </row>
    <row r="67" spans="2:6" ht="13">
      <c r="B67" s="15" t="s">
        <v>40</v>
      </c>
      <c r="C67" s="15"/>
      <c r="D67" s="17" t="s">
        <v>14</v>
      </c>
      <c r="E67" s="15"/>
      <c r="F67" s="188">
        <v>0.05</v>
      </c>
    </row>
  </sheetData>
  <sheetProtection sheet="1" selectLockedCells="1"/>
  <scenarios current="1" show="1">
    <scenario name="Standalone Li-ion storage" count="26" user="Shiv V" comment="Created by Shiv V on 04-12-2019_x000a_Modified by Shiv V on 04-12-2019_x000a_Modified by Shiv V on 05-04-2020_x000a_Modified by Shiv V on 13-04-2020_x000a_Modified by Shiv V on 17-04-2020_x000a_Modified by Shiv V on 18-05-2020_x000a_Modified by Shiv V on 20-05-2020">
      <inputCells r="F14" val="2020"/>
      <inputCells r="F21" val="0.0572" numFmtId="10"/>
      <inputCells r="F22" val="0.0035" numFmtId="10"/>
      <inputCells r="F29" val="0" numFmtId="166"/>
      <inputCells r="F31" val="0" numFmtId="166"/>
      <inputCells r="F47" val="20000" numFmtId="3"/>
      <inputCells r="F39" val="7000" numFmtId="166"/>
      <inputCells r="F40" val="5"/>
      <inputCells r="F41" val="14" numFmtId="1"/>
      <inputCells r="F42" val="0.4" numFmtId="9"/>
      <inputCells r="F43" val="0.01" numFmtId="9"/>
      <inputCells r="F49" val="0" numFmtId="166"/>
      <inputCells r="F50" val="2200" numFmtId="166"/>
      <inputCells r="F51" val="600" numFmtId="166"/>
      <inputCells r="F52" val="5" numFmtId="166"/>
      <inputCells r="F53" val="2" numFmtId="166"/>
      <inputCells r="F54" val="0.97" numFmtId="9"/>
      <inputCells r="F55" val="0.8" numFmtId="9"/>
      <inputCells r="F56" val="730" numFmtId="166"/>
      <inputCells r="F58" val="4000" numFmtId="166"/>
      <inputCells r="F59" val="13" numFmtId="1"/>
      <inputCells r="F62" val="-" numFmtId="169"/>
      <inputCells r="F63" val="0.0068" numFmtId="10"/>
      <inputCells r="F65" val="LT Industries" numFmtId="166"/>
      <inputCells r="F67" val="0.05" numFmtId="9"/>
      <inputCells r="I8" val="Standalone"/>
    </scenario>
    <scenario name="Solar+Li-ion storage (LT Industry 12 kVA, 4 hr, 24 kW)" locked="1" count="26" user="Shiv V" comment="Created by Shiv V on 05-04-2020_x000a_Modified by Shiv V on 13-04-2020_x000a_Modified by Shiv V on 17-04-2020_x000a_Modified by Shiv V on 18-05-2020_x000a_Modified by Shiv V on 19-05-2020_x000a_Modified by Shiv V on 20-05-2020_x000a_Modified by Shiv V on 08-09-2020">
      <inputCells r="F14" val="2020"/>
      <inputCells r="F21" val="0.0572" numFmtId="10"/>
      <inputCells r="F22" val="0.0035" numFmtId="10"/>
      <inputCells r="F29" val="41000"/>
      <inputCells r="F31" val="24" numFmtId="166"/>
      <inputCells r="F47" val="20000" numFmtId="3"/>
      <inputCells r="F39" val="20000" numFmtId="166"/>
      <inputCells r="F40" val="12"/>
      <inputCells r="F41" val="14" numFmtId="1"/>
      <inputCells r="F42" val="0.6" numFmtId="9"/>
      <inputCells r="F43" val="0.01" numFmtId="9"/>
      <inputCells r="F49" val="0" numFmtId="9"/>
      <inputCells r="F50" val="5500" numFmtId="166"/>
      <inputCells r="F51" val="1200" numFmtId="166"/>
      <inputCells r="F52" val="12" numFmtId="1"/>
      <inputCells r="F53" val="4" numFmtId="1"/>
      <inputCells r="F54" val="0.97" numFmtId="9"/>
      <inputCells r="F55" val="0.8" numFmtId="9"/>
      <inputCells r="F56" val="365" numFmtId="1"/>
      <inputCells r="F58" val="4000" numFmtId="166"/>
      <inputCells r="F59" val="13" numFmtId="1"/>
      <inputCells r="F62" val="0.5" numFmtId="169"/>
      <inputCells r="F63" val="0.0068" numFmtId="10"/>
      <inputCells r="F65" val="LT Industries"/>
      <inputCells r="F67" val="0.05" numFmtId="9"/>
      <inputCells r="I8" val="Solar+Storage"/>
    </scenario>
    <scenario name="Solar+Li-ion storage (medium 12 kVA, 4 hr, 24 kW, 2030)" locked="1" count="26" user="Shiv V" comment="Created by Shiv V on 28-09-2020_x000a_Modified by Shiv V on 28-09-2020_x000a_Modified by Shiv V on 02-10-2020_x000a_Modified by Shiv V on 08-10-2020_x000a_Modified by Shiv V on 14-10-2020">
      <inputCells r="F14" val="2030"/>
      <inputCells r="F21" val="0.0572" numFmtId="10"/>
      <inputCells r="F22" val="0.0035" numFmtId="10"/>
      <inputCells r="F29" val="17000" numFmtId="166"/>
      <inputCells r="F31" val="24" numFmtId="166"/>
      <inputCells r="F47" val="20000" numFmtId="3"/>
      <inputCells r="F39" val="8000" numFmtId="166"/>
      <inputCells r="F40" val="12"/>
      <inputCells r="F41" val="14" numFmtId="1"/>
      <inputCells r="F42" val="0.2" numFmtId="9"/>
      <inputCells r="F43" val="0.01" numFmtId="9"/>
      <inputCells r="F49" val="0" numFmtId="9"/>
      <inputCells r="F50" val="5500" numFmtId="166"/>
      <inputCells r="F51" val="1200" numFmtId="166"/>
      <inputCells r="F52" val="12" numFmtId="1"/>
      <inputCells r="F53" val="4" numFmtId="1"/>
      <inputCells r="F54" val="0.97" numFmtId="9"/>
      <inputCells r="F55" val="0.8" numFmtId="9"/>
      <inputCells r="F56" val="365" numFmtId="1"/>
      <inputCells r="F58" val="4000" numFmtId="166"/>
      <inputCells r="F59" val="13" numFmtId="1"/>
      <inputCells r="F62" val="0.5" numFmtId="169"/>
      <inputCells r="F63" val="0.0068" numFmtId="10"/>
      <inputCells r="F65" val="LT Industries"/>
      <inputCells r="F67" val="0.05" numFmtId="9"/>
      <inputCells r="I8" val="Solar+Storage"/>
    </scenario>
  </scenarios>
  <mergeCells count="2">
    <mergeCell ref="B8:F8"/>
    <mergeCell ref="K8:M8"/>
  </mergeCells>
  <dataValidations count="1">
    <dataValidation type="custom" allowBlank="1" showInputMessage="1" showErrorMessage="1" errorTitle="Error" error="The loan tenure should be less than or equal to the life of the solar plant." sqref="F18">
      <formula1>F18&lt;=F32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5" r:id="rId4" name="Option Button 3">
              <controlPr defaultSize="0" autoFill="0" autoLine="0" autoPict="0" macro="[0]!SelectSolarplusStorage">
                <anchor moveWithCells="1">
                  <from>
                    <xdr:col>1</xdr:col>
                    <xdr:colOff>2533650</xdr:colOff>
                    <xdr:row>3</xdr:row>
                    <xdr:rowOff>25400</xdr:rowOff>
                  </from>
                  <to>
                    <xdr:col>5</xdr:col>
                    <xdr:colOff>488950</xdr:colOff>
                    <xdr:row>4</xdr:row>
                    <xdr:rowOff>139700</xdr:rowOff>
                  </to>
                </anchor>
              </controlPr>
            </control>
          </mc:Choice>
        </mc:AlternateContent>
        <mc:AlternateContent xmlns:mc="http://schemas.openxmlformats.org/markup-compatibility/2006">
          <mc:Choice Requires="x14">
            <control shapeId="33799" r:id="rId5" name="Option Button 7">
              <controlPr defaultSize="0" autoFill="0" autoLine="0" autoPict="0" macro="[0]!SelectStandaloneStorage">
                <anchor moveWithCells="1">
                  <from>
                    <xdr:col>5</xdr:col>
                    <xdr:colOff>889000</xdr:colOff>
                    <xdr:row>3</xdr:row>
                    <xdr:rowOff>12700</xdr:rowOff>
                  </from>
                  <to>
                    <xdr:col>10</xdr:col>
                    <xdr:colOff>31750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'Storage charging cost'!$B$4:$B$18</xm:f>
          </x14:formula1>
          <xm:sqref>F65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2"/>
  </sheetPr>
  <dimension ref="A1:AL117"/>
  <sheetViews>
    <sheetView showGridLines="0" workbookViewId="0">
      <selection activeCell="H8" sqref="H8"/>
    </sheetView>
  </sheetViews>
  <sheetFormatPr defaultColWidth="8.81640625" defaultRowHeight="11.5"/>
  <cols>
    <col min="1" max="1" width="3.36328125" style="19" customWidth="1"/>
    <col min="2" max="2" width="36.81640625" style="19" customWidth="1"/>
    <col min="3" max="3" width="1.36328125" style="19" customWidth="1"/>
    <col min="4" max="4" width="8.81640625" style="19" customWidth="1"/>
    <col min="5" max="5" width="1.36328125" style="19" customWidth="1"/>
    <col min="6" max="6" width="9.81640625" style="19" bestFit="1" customWidth="1"/>
    <col min="7" max="7" width="1.36328125" style="19" customWidth="1"/>
    <col min="8" max="9" width="10.453125" style="19" customWidth="1"/>
    <col min="10" max="10" width="10.453125" style="19" bestFit="1" customWidth="1"/>
    <col min="11" max="32" width="10.453125" style="19" customWidth="1"/>
    <col min="33" max="16384" width="8.81640625" style="19"/>
  </cols>
  <sheetData>
    <row r="1" spans="1:32" ht="17.5" customHeight="1">
      <c r="A1" s="224" t="s">
        <v>203</v>
      </c>
      <c r="B1" s="218"/>
      <c r="C1" s="218"/>
      <c r="D1" s="218"/>
      <c r="I1" s="23"/>
    </row>
    <row r="2" spans="1:32" ht="14.5" customHeight="1">
      <c r="B2" s="24"/>
      <c r="C2" s="24"/>
      <c r="D2" s="24"/>
      <c r="E2" s="24"/>
      <c r="F2" s="24"/>
      <c r="G2" s="24"/>
      <c r="H2" s="24"/>
      <c r="I2" s="24"/>
      <c r="J2" s="24"/>
      <c r="K2" s="24"/>
      <c r="L2" s="24"/>
      <c r="M2" s="41" t="s">
        <v>76</v>
      </c>
      <c r="N2" s="24"/>
      <c r="O2" s="24"/>
      <c r="P2" s="24"/>
      <c r="Q2" s="24"/>
      <c r="R2" s="24"/>
      <c r="S2" s="24"/>
      <c r="T2" s="24"/>
      <c r="U2" s="24"/>
      <c r="V2" s="24"/>
      <c r="W2" s="24"/>
      <c r="X2" s="24"/>
      <c r="Y2" s="24"/>
      <c r="Z2" s="24"/>
      <c r="AA2" s="24"/>
      <c r="AB2" s="24"/>
      <c r="AC2" s="24"/>
      <c r="AD2" s="24"/>
      <c r="AE2" s="24"/>
      <c r="AF2" s="24"/>
    </row>
    <row r="3" spans="1:32" ht="14.5">
      <c r="B3" s="201" t="s">
        <v>75</v>
      </c>
      <c r="C3" s="206"/>
      <c r="D3" s="201" t="s">
        <v>0</v>
      </c>
      <c r="E3" s="206"/>
      <c r="F3" s="201" t="s">
        <v>74</v>
      </c>
      <c r="G3" s="206"/>
      <c r="H3" s="201">
        <v>1</v>
      </c>
      <c r="I3" s="201">
        <f>H3+1</f>
        <v>2</v>
      </c>
      <c r="J3" s="201">
        <f t="shared" ref="J3:AF3" si="0">I3+1</f>
        <v>3</v>
      </c>
      <c r="K3" s="201">
        <f t="shared" si="0"/>
        <v>4</v>
      </c>
      <c r="L3" s="201">
        <f t="shared" si="0"/>
        <v>5</v>
      </c>
      <c r="M3" s="201">
        <f t="shared" si="0"/>
        <v>6</v>
      </c>
      <c r="N3" s="201">
        <f t="shared" si="0"/>
        <v>7</v>
      </c>
      <c r="O3" s="201">
        <f t="shared" si="0"/>
        <v>8</v>
      </c>
      <c r="P3" s="201">
        <f t="shared" si="0"/>
        <v>9</v>
      </c>
      <c r="Q3" s="201">
        <f t="shared" si="0"/>
        <v>10</v>
      </c>
      <c r="R3" s="201">
        <f t="shared" si="0"/>
        <v>11</v>
      </c>
      <c r="S3" s="201">
        <f t="shared" si="0"/>
        <v>12</v>
      </c>
      <c r="T3" s="201">
        <f t="shared" si="0"/>
        <v>13</v>
      </c>
      <c r="U3" s="201">
        <f t="shared" si="0"/>
        <v>14</v>
      </c>
      <c r="V3" s="201">
        <f t="shared" si="0"/>
        <v>15</v>
      </c>
      <c r="W3" s="201">
        <f t="shared" si="0"/>
        <v>16</v>
      </c>
      <c r="X3" s="201">
        <f t="shared" si="0"/>
        <v>17</v>
      </c>
      <c r="Y3" s="201">
        <f t="shared" si="0"/>
        <v>18</v>
      </c>
      <c r="Z3" s="201">
        <f t="shared" si="0"/>
        <v>19</v>
      </c>
      <c r="AA3" s="201">
        <f t="shared" si="0"/>
        <v>20</v>
      </c>
      <c r="AB3" s="201">
        <f t="shared" si="0"/>
        <v>21</v>
      </c>
      <c r="AC3" s="201">
        <f t="shared" si="0"/>
        <v>22</v>
      </c>
      <c r="AD3" s="201">
        <f t="shared" si="0"/>
        <v>23</v>
      </c>
      <c r="AE3" s="201">
        <f t="shared" si="0"/>
        <v>24</v>
      </c>
      <c r="AF3" s="201">
        <f t="shared" si="0"/>
        <v>25</v>
      </c>
    </row>
    <row r="4" spans="1:32">
      <c r="B4" s="25"/>
      <c r="C4" s="25"/>
      <c r="D4" s="26"/>
      <c r="E4" s="27"/>
      <c r="F4" s="25"/>
      <c r="G4" s="25"/>
      <c r="H4" s="28"/>
      <c r="I4" s="28"/>
      <c r="J4" s="28"/>
      <c r="K4" s="28"/>
      <c r="L4" s="28"/>
      <c r="M4" s="28"/>
      <c r="N4" s="28"/>
      <c r="O4" s="28"/>
      <c r="P4" s="28"/>
      <c r="Q4" s="28"/>
      <c r="R4" s="28"/>
      <c r="S4" s="28"/>
      <c r="T4" s="28"/>
      <c r="U4" s="28"/>
      <c r="V4" s="28"/>
      <c r="W4" s="28"/>
      <c r="X4" s="28"/>
      <c r="Y4" s="28"/>
      <c r="Z4" s="28"/>
      <c r="AA4" s="28"/>
      <c r="AB4" s="28"/>
      <c r="AC4" s="28"/>
      <c r="AD4" s="28"/>
      <c r="AE4" s="28"/>
      <c r="AF4" s="28"/>
    </row>
    <row r="5" spans="1:32" ht="14.5">
      <c r="B5" s="205" t="s">
        <v>117</v>
      </c>
      <c r="C5" s="29"/>
      <c r="D5" s="30"/>
      <c r="E5" s="31"/>
      <c r="F5" s="32"/>
      <c r="G5" s="33"/>
      <c r="H5" s="34"/>
      <c r="I5" s="34"/>
      <c r="J5" s="34"/>
      <c r="K5" s="34"/>
      <c r="L5" s="34"/>
      <c r="M5" s="34"/>
      <c r="N5" s="34"/>
      <c r="O5" s="34"/>
      <c r="P5" s="34"/>
      <c r="Q5" s="34"/>
      <c r="R5" s="34"/>
      <c r="S5" s="34"/>
      <c r="T5" s="34"/>
      <c r="U5" s="34"/>
      <c r="V5" s="34"/>
      <c r="W5" s="34"/>
      <c r="X5" s="34"/>
      <c r="Y5" s="34"/>
      <c r="Z5" s="34"/>
      <c r="AA5" s="34"/>
      <c r="AB5" s="34"/>
      <c r="AC5" s="34"/>
      <c r="AD5" s="34"/>
      <c r="AE5" s="34"/>
      <c r="AF5" s="34"/>
    </row>
    <row r="6" spans="1:32" ht="13">
      <c r="B6" s="15" t="s">
        <v>89</v>
      </c>
      <c r="C6" s="29"/>
      <c r="D6" s="88"/>
      <c r="E6" s="31"/>
      <c r="F6" s="33"/>
      <c r="G6" s="33"/>
      <c r="H6" s="91">
        <f>Storage_base_year</f>
        <v>2020</v>
      </c>
      <c r="I6" s="91">
        <f>H6+1</f>
        <v>2021</v>
      </c>
      <c r="J6" s="91">
        <f t="shared" ref="J6:AF6" si="1">I6+1</f>
        <v>2022</v>
      </c>
      <c r="K6" s="91">
        <f t="shared" si="1"/>
        <v>2023</v>
      </c>
      <c r="L6" s="91">
        <f t="shared" si="1"/>
        <v>2024</v>
      </c>
      <c r="M6" s="91">
        <f t="shared" si="1"/>
        <v>2025</v>
      </c>
      <c r="N6" s="91">
        <f t="shared" si="1"/>
        <v>2026</v>
      </c>
      <c r="O6" s="91">
        <f t="shared" si="1"/>
        <v>2027</v>
      </c>
      <c r="P6" s="91">
        <f t="shared" si="1"/>
        <v>2028</v>
      </c>
      <c r="Q6" s="91">
        <f t="shared" si="1"/>
        <v>2029</v>
      </c>
      <c r="R6" s="91">
        <f t="shared" si="1"/>
        <v>2030</v>
      </c>
      <c r="S6" s="91">
        <f t="shared" si="1"/>
        <v>2031</v>
      </c>
      <c r="T6" s="91">
        <f t="shared" si="1"/>
        <v>2032</v>
      </c>
      <c r="U6" s="91">
        <f t="shared" si="1"/>
        <v>2033</v>
      </c>
      <c r="V6" s="91">
        <f t="shared" si="1"/>
        <v>2034</v>
      </c>
      <c r="W6" s="91">
        <f t="shared" si="1"/>
        <v>2035</v>
      </c>
      <c r="X6" s="91">
        <f t="shared" si="1"/>
        <v>2036</v>
      </c>
      <c r="Y6" s="91">
        <f t="shared" si="1"/>
        <v>2037</v>
      </c>
      <c r="Z6" s="91">
        <f t="shared" si="1"/>
        <v>2038</v>
      </c>
      <c r="AA6" s="91">
        <f t="shared" si="1"/>
        <v>2039</v>
      </c>
      <c r="AB6" s="91">
        <f t="shared" si="1"/>
        <v>2040</v>
      </c>
      <c r="AC6" s="91">
        <f t="shared" si="1"/>
        <v>2041</v>
      </c>
      <c r="AD6" s="91">
        <f t="shared" si="1"/>
        <v>2042</v>
      </c>
      <c r="AE6" s="91">
        <f t="shared" si="1"/>
        <v>2043</v>
      </c>
      <c r="AF6" s="91">
        <f t="shared" si="1"/>
        <v>2044</v>
      </c>
    </row>
    <row r="7" spans="1:32" ht="13">
      <c r="B7" s="15" t="s">
        <v>128</v>
      </c>
      <c r="C7" s="29"/>
      <c r="D7" s="40"/>
      <c r="E7" s="31"/>
      <c r="F7" s="33"/>
      <c r="G7" s="33"/>
      <c r="H7" s="38">
        <f t="shared" ref="H7:AF7" si="2">IF(MOD(H3,Storage_life)=0, Storage_life, MOD(H3,Storage_life))</f>
        <v>1</v>
      </c>
      <c r="I7" s="38">
        <f t="shared" si="2"/>
        <v>2</v>
      </c>
      <c r="J7" s="38">
        <f t="shared" si="2"/>
        <v>3</v>
      </c>
      <c r="K7" s="38">
        <f t="shared" si="2"/>
        <v>4</v>
      </c>
      <c r="L7" s="38">
        <f t="shared" si="2"/>
        <v>5</v>
      </c>
      <c r="M7" s="38">
        <f t="shared" si="2"/>
        <v>6</v>
      </c>
      <c r="N7" s="38">
        <f t="shared" si="2"/>
        <v>7</v>
      </c>
      <c r="O7" s="38">
        <f t="shared" si="2"/>
        <v>8</v>
      </c>
      <c r="P7" s="38">
        <f t="shared" si="2"/>
        <v>9</v>
      </c>
      <c r="Q7" s="38">
        <f t="shared" si="2"/>
        <v>10</v>
      </c>
      <c r="R7" s="38">
        <f t="shared" si="2"/>
        <v>11</v>
      </c>
      <c r="S7" s="38">
        <f t="shared" si="2"/>
        <v>1</v>
      </c>
      <c r="T7" s="38">
        <f t="shared" si="2"/>
        <v>2</v>
      </c>
      <c r="U7" s="38">
        <f t="shared" si="2"/>
        <v>3</v>
      </c>
      <c r="V7" s="38">
        <f t="shared" si="2"/>
        <v>4</v>
      </c>
      <c r="W7" s="38">
        <f t="shared" si="2"/>
        <v>5</v>
      </c>
      <c r="X7" s="38">
        <f t="shared" si="2"/>
        <v>6</v>
      </c>
      <c r="Y7" s="38">
        <f t="shared" si="2"/>
        <v>7</v>
      </c>
      <c r="Z7" s="38">
        <f t="shared" si="2"/>
        <v>8</v>
      </c>
      <c r="AA7" s="38">
        <f t="shared" si="2"/>
        <v>9</v>
      </c>
      <c r="AB7" s="38">
        <f t="shared" si="2"/>
        <v>10</v>
      </c>
      <c r="AC7" s="38">
        <f t="shared" si="2"/>
        <v>11</v>
      </c>
      <c r="AD7" s="38">
        <f t="shared" si="2"/>
        <v>1</v>
      </c>
      <c r="AE7" s="38">
        <f t="shared" si="2"/>
        <v>2</v>
      </c>
      <c r="AF7" s="38">
        <f t="shared" si="2"/>
        <v>3</v>
      </c>
    </row>
    <row r="8" spans="1:32" ht="13">
      <c r="B8" s="15" t="s">
        <v>215</v>
      </c>
      <c r="C8" s="29"/>
      <c r="D8" s="40" t="s">
        <v>15</v>
      </c>
      <c r="E8" s="31"/>
      <c r="F8" s="33"/>
      <c r="G8" s="33"/>
      <c r="H8" s="38">
        <f>IF(H7=1, (Storage_module_capexperkWh*VLOOKUP('LCOS calc'!H6, 'Cost projections'!$B$4:$D$49, 3)/VLOOKUP(Storage_base_year, 'Cost projections'!$B$4:$D$49, 3)), 0)</f>
        <v>20000</v>
      </c>
      <c r="I8" s="38">
        <f>IF(I7=1, (Storage_module_capexperkWh*VLOOKUP('LCOS calc'!I6, 'Cost projections'!$B$4:$D$39, 3)/VLOOKUP(Storage_base_year, 'Cost projections'!$B$4:$D$39, 3)), 0)</f>
        <v>0</v>
      </c>
      <c r="J8" s="38">
        <f>IF(J7=1, (Storage_module_capexperkWh*VLOOKUP('LCOS calc'!J6, 'Cost projections'!$B$4:$D$39, 3)/VLOOKUP(Storage_base_year, 'Cost projections'!$B$4:$D$39, 3)), 0)</f>
        <v>0</v>
      </c>
      <c r="K8" s="38">
        <f>IF(K7=1, (Storage_module_capexperkWh*VLOOKUP('LCOS calc'!K6, 'Cost projections'!$B$4:$D$39, 3)/VLOOKUP(Storage_base_year, 'Cost projections'!$B$4:$D$39, 3)), 0)</f>
        <v>0</v>
      </c>
      <c r="L8" s="38">
        <f>IF(L7=1, (Storage_module_capexperkWh*VLOOKUP('LCOS calc'!L6, 'Cost projections'!$B$4:$D$39, 3)/VLOOKUP(Storage_base_year, 'Cost projections'!$B$4:$D$39, 3)), 0)</f>
        <v>0</v>
      </c>
      <c r="M8" s="38">
        <f>IF(M7=1, (Storage_module_capexperkWh*VLOOKUP('LCOS calc'!M6, 'Cost projections'!$B$4:$D$39, 3)/VLOOKUP(Storage_base_year, 'Cost projections'!$B$4:$D$39, 3)), 0)</f>
        <v>0</v>
      </c>
      <c r="N8" s="38">
        <f>IF(N7=1, (Storage_module_capexperkWh*VLOOKUP('LCOS calc'!N6, 'Cost projections'!$B$4:$D$39, 3)/VLOOKUP(Storage_base_year, 'Cost projections'!$B$4:$D$39, 3)), 0)</f>
        <v>0</v>
      </c>
      <c r="O8" s="38">
        <f>IF(O7=1, (Storage_module_capexperkWh*VLOOKUP('LCOS calc'!O6, 'Cost projections'!$B$4:$D$39, 3)/VLOOKUP(Storage_base_year, 'Cost projections'!$B$4:$D$39, 3)), 0)</f>
        <v>0</v>
      </c>
      <c r="P8" s="38">
        <f>IF(P7=1, (Storage_module_capexperkWh*VLOOKUP('LCOS calc'!P6, 'Cost projections'!$B$4:$D$39, 3)/VLOOKUP(Storage_base_year, 'Cost projections'!$B$4:$D$39, 3)), 0)</f>
        <v>0</v>
      </c>
      <c r="Q8" s="38">
        <f>IF(Q7=1, (Storage_module_capexperkWh*VLOOKUP('LCOS calc'!Q6, 'Cost projections'!$B$4:$D$39, 3)/VLOOKUP(Storage_base_year, 'Cost projections'!$B$4:$D$39, 3)), 0)</f>
        <v>0</v>
      </c>
      <c r="R8" s="38">
        <f>IF(R7=1, (Storage_module_capexperkWh*VLOOKUP('LCOS calc'!R6, 'Cost projections'!$B$4:$D$39, 3)/VLOOKUP(Storage_base_year, 'Cost projections'!$B$4:$D$39, 3)), 0)</f>
        <v>0</v>
      </c>
      <c r="S8" s="38">
        <f>IF(S7=1, (Storage_module_capexperkWh*VLOOKUP('LCOS calc'!S6, 'Cost projections'!$B$4:$D$39, 3)/VLOOKUP(Storage_base_year, 'Cost projections'!$B$4:$D$39, 3)), 0)</f>
        <v>7999.9999999999991</v>
      </c>
      <c r="T8" s="38">
        <f>IF(T7=1, (Storage_module_capexperkWh*VLOOKUP('LCOS calc'!T6, 'Cost projections'!$B$4:$D$39, 3)/VLOOKUP(Storage_base_year, 'Cost projections'!$B$4:$D$39, 3)), 0)</f>
        <v>0</v>
      </c>
      <c r="U8" s="38">
        <f>IF(U7=1, (Storage_module_capexperkWh*VLOOKUP('LCOS calc'!U6, 'Cost projections'!$B$4:$D$39, 3)/VLOOKUP(Storage_base_year, 'Cost projections'!$B$4:$D$39, 3)), 0)</f>
        <v>0</v>
      </c>
      <c r="V8" s="38">
        <f>IF(V7=1, (Storage_module_capexperkWh*VLOOKUP('LCOS calc'!V6, 'Cost projections'!$B$4:$D$39, 3)/VLOOKUP(Storage_base_year, 'Cost projections'!$B$4:$D$39, 3)), 0)</f>
        <v>0</v>
      </c>
      <c r="W8" s="38">
        <f>IF(W7=1, (Storage_module_capexperkWh*VLOOKUP('LCOS calc'!W6, 'Cost projections'!$B$4:$D$39, 3)/VLOOKUP(Storage_base_year, 'Cost projections'!$B$4:$D$39, 3)), 0)</f>
        <v>0</v>
      </c>
      <c r="X8" s="38">
        <f>IF(X7=1, (Storage_module_capexperkWh*VLOOKUP('LCOS calc'!X6, 'Cost projections'!$B$4:$D$39, 3)/VLOOKUP(Storage_base_year, 'Cost projections'!$B$4:$D$39, 3)), 0)</f>
        <v>0</v>
      </c>
      <c r="Y8" s="38">
        <f>IF(Y7=1, (Storage_module_capexperkWh*VLOOKUP('LCOS calc'!Y6, 'Cost projections'!$B$4:$D$39, 3)/VLOOKUP(Storage_base_year, 'Cost projections'!$B$4:$D$39, 3)), 0)</f>
        <v>0</v>
      </c>
      <c r="Z8" s="38">
        <f>IF(Z7=1, (Storage_module_capexperkWh*VLOOKUP('LCOS calc'!Z6, 'Cost projections'!$B$4:$D$39, 3)/VLOOKUP(Storage_base_year, 'Cost projections'!$B$4:$D$39, 3)), 0)</f>
        <v>0</v>
      </c>
      <c r="AA8" s="38">
        <f>IF(AA7=1, (Storage_module_capexperkWh*VLOOKUP('LCOS calc'!AA6, 'Cost projections'!$B$4:$D$39, 3)/VLOOKUP(Storage_base_year, 'Cost projections'!$B$4:$D$39, 3)), 0)</f>
        <v>0</v>
      </c>
      <c r="AB8" s="38">
        <f>IF(AB7=1, (Storage_module_capexperkWh*VLOOKUP('LCOS calc'!AB6, 'Cost projections'!$B$4:$D$39, 3)/VLOOKUP(Storage_base_year, 'Cost projections'!$B$4:$D$39, 3)), 0)</f>
        <v>0</v>
      </c>
      <c r="AC8" s="38">
        <f>IF(AC7=1, (Storage_module_capexperkWh*VLOOKUP('LCOS calc'!AC6, 'Cost projections'!$B$4:$D$39, 3)/VLOOKUP(Storage_base_year, 'Cost projections'!$B$4:$D$39, 3)), 0)</f>
        <v>0</v>
      </c>
      <c r="AD8" s="38">
        <f>IF(AD7=1, (Storage_module_capexperkWh*VLOOKUP('LCOS calc'!AD6, 'Cost projections'!$B$4:$D$39, 3)/VLOOKUP(Storage_base_year, 'Cost projections'!$B$4:$D$39, 3)), 0)</f>
        <v>5454.545454545454</v>
      </c>
      <c r="AE8" s="38">
        <f>IF(AE7=1, (Storage_module_capexperkWh*VLOOKUP('LCOS calc'!AE6, 'Cost projections'!$B$4:$D$39, 3)/VLOOKUP(Storage_base_year, 'Cost projections'!$B$4:$D$39, 3)), 0)</f>
        <v>0</v>
      </c>
      <c r="AF8" s="38">
        <f>IF(AF7=1, (Storage_module_capexperkWh*VLOOKUP('LCOS calc'!AF6, 'Cost projections'!$B$4:$D$39, 3)/VLOOKUP(Storage_base_year, 'Cost projections'!$B$4:$D$39, 3)), 0)</f>
        <v>0</v>
      </c>
    </row>
    <row r="9" spans="1:32" ht="13">
      <c r="B9" s="15" t="s">
        <v>35</v>
      </c>
      <c r="C9" s="29"/>
      <c r="D9" s="40" t="s">
        <v>15</v>
      </c>
      <c r="E9" s="31"/>
      <c r="F9" s="33"/>
      <c r="G9" s="33"/>
      <c r="H9" s="38">
        <f t="shared" ref="H9:AF9" si="3">IF(H7=1, (Storage_capacity*H8+Storage_rack_capexperkW*Storage_power_capacity+Storage_EPC_capexperkW*Storage_power_capacity), 0)</f>
        <v>1040400</v>
      </c>
      <c r="I9" s="38">
        <f t="shared" si="3"/>
        <v>0</v>
      </c>
      <c r="J9" s="38">
        <f t="shared" si="3"/>
        <v>0</v>
      </c>
      <c r="K9" s="38">
        <f t="shared" si="3"/>
        <v>0</v>
      </c>
      <c r="L9" s="38">
        <f t="shared" si="3"/>
        <v>0</v>
      </c>
      <c r="M9" s="38">
        <f t="shared" si="3"/>
        <v>0</v>
      </c>
      <c r="N9" s="38">
        <f t="shared" si="3"/>
        <v>0</v>
      </c>
      <c r="O9" s="38">
        <f t="shared" si="3"/>
        <v>0</v>
      </c>
      <c r="P9" s="38">
        <f t="shared" si="3"/>
        <v>0</v>
      </c>
      <c r="Q9" s="38">
        <f t="shared" si="3"/>
        <v>0</v>
      </c>
      <c r="R9" s="38">
        <f t="shared" si="3"/>
        <v>0</v>
      </c>
      <c r="S9" s="38">
        <f t="shared" si="3"/>
        <v>464399.99999999994</v>
      </c>
      <c r="T9" s="38">
        <f t="shared" si="3"/>
        <v>0</v>
      </c>
      <c r="U9" s="38">
        <f t="shared" si="3"/>
        <v>0</v>
      </c>
      <c r="V9" s="38">
        <f t="shared" si="3"/>
        <v>0</v>
      </c>
      <c r="W9" s="38">
        <f t="shared" si="3"/>
        <v>0</v>
      </c>
      <c r="X9" s="38">
        <f t="shared" si="3"/>
        <v>0</v>
      </c>
      <c r="Y9" s="38">
        <f t="shared" si="3"/>
        <v>0</v>
      </c>
      <c r="Z9" s="38">
        <f t="shared" si="3"/>
        <v>0</v>
      </c>
      <c r="AA9" s="38">
        <f t="shared" si="3"/>
        <v>0</v>
      </c>
      <c r="AB9" s="38">
        <f t="shared" si="3"/>
        <v>0</v>
      </c>
      <c r="AC9" s="38">
        <f t="shared" si="3"/>
        <v>0</v>
      </c>
      <c r="AD9" s="38">
        <f t="shared" si="3"/>
        <v>342218.18181818177</v>
      </c>
      <c r="AE9" s="38">
        <f t="shared" si="3"/>
        <v>0</v>
      </c>
      <c r="AF9" s="38">
        <f t="shared" si="3"/>
        <v>0</v>
      </c>
    </row>
    <row r="10" spans="1:32" ht="13">
      <c r="B10" s="15" t="s">
        <v>36</v>
      </c>
      <c r="C10" s="29"/>
      <c r="D10" s="40" t="s">
        <v>15</v>
      </c>
      <c r="E10" s="31"/>
      <c r="F10" s="33"/>
      <c r="G10" s="33"/>
      <c r="H10" s="38">
        <f t="shared" ref="H10:AF10" si="4">IF(H7=1, (Storage_capacity*H8*(1-Storage_capitalsubsidy_percentage)+Storage_rack_capexperkW*Storage_power_capacity+Storage_EPC_capexperkW*Storage_power_capacity), 0)</f>
        <v>1040400</v>
      </c>
      <c r="I10" s="38">
        <f t="shared" si="4"/>
        <v>0</v>
      </c>
      <c r="J10" s="38">
        <f t="shared" si="4"/>
        <v>0</v>
      </c>
      <c r="K10" s="38">
        <f t="shared" si="4"/>
        <v>0</v>
      </c>
      <c r="L10" s="38">
        <f t="shared" si="4"/>
        <v>0</v>
      </c>
      <c r="M10" s="38">
        <f t="shared" si="4"/>
        <v>0</v>
      </c>
      <c r="N10" s="38">
        <f t="shared" si="4"/>
        <v>0</v>
      </c>
      <c r="O10" s="38">
        <f t="shared" si="4"/>
        <v>0</v>
      </c>
      <c r="P10" s="38">
        <f t="shared" si="4"/>
        <v>0</v>
      </c>
      <c r="Q10" s="38">
        <f t="shared" si="4"/>
        <v>0</v>
      </c>
      <c r="R10" s="38">
        <f t="shared" si="4"/>
        <v>0</v>
      </c>
      <c r="S10" s="38">
        <f t="shared" si="4"/>
        <v>464399.99999999994</v>
      </c>
      <c r="T10" s="38">
        <f t="shared" si="4"/>
        <v>0</v>
      </c>
      <c r="U10" s="38">
        <f t="shared" si="4"/>
        <v>0</v>
      </c>
      <c r="V10" s="38">
        <f t="shared" si="4"/>
        <v>0</v>
      </c>
      <c r="W10" s="38">
        <f t="shared" si="4"/>
        <v>0</v>
      </c>
      <c r="X10" s="38">
        <f t="shared" si="4"/>
        <v>0</v>
      </c>
      <c r="Y10" s="38">
        <f t="shared" si="4"/>
        <v>0</v>
      </c>
      <c r="Z10" s="38">
        <f t="shared" si="4"/>
        <v>0</v>
      </c>
      <c r="AA10" s="38">
        <f t="shared" si="4"/>
        <v>0</v>
      </c>
      <c r="AB10" s="38">
        <f t="shared" si="4"/>
        <v>0</v>
      </c>
      <c r="AC10" s="38">
        <f t="shared" si="4"/>
        <v>0</v>
      </c>
      <c r="AD10" s="38">
        <f t="shared" si="4"/>
        <v>342218.18181818177</v>
      </c>
      <c r="AE10" s="38">
        <f t="shared" si="4"/>
        <v>0</v>
      </c>
      <c r="AF10" s="38">
        <f t="shared" si="4"/>
        <v>0</v>
      </c>
    </row>
    <row r="11" spans="1:32" ht="13">
      <c r="B11" s="15" t="s">
        <v>1</v>
      </c>
      <c r="C11" s="29"/>
      <c r="D11" s="40" t="s">
        <v>15</v>
      </c>
      <c r="E11" s="31"/>
      <c r="F11" s="33"/>
      <c r="G11" s="33"/>
      <c r="H11" s="38">
        <f t="shared" ref="H11:AF11" si="5">H10*Storage_equity_percentage</f>
        <v>312120</v>
      </c>
      <c r="I11" s="38">
        <f t="shared" si="5"/>
        <v>0</v>
      </c>
      <c r="J11" s="38">
        <f t="shared" si="5"/>
        <v>0</v>
      </c>
      <c r="K11" s="38">
        <f t="shared" si="5"/>
        <v>0</v>
      </c>
      <c r="L11" s="38">
        <f t="shared" si="5"/>
        <v>0</v>
      </c>
      <c r="M11" s="38">
        <f t="shared" si="5"/>
        <v>0</v>
      </c>
      <c r="N11" s="38">
        <f t="shared" si="5"/>
        <v>0</v>
      </c>
      <c r="O11" s="38">
        <f t="shared" si="5"/>
        <v>0</v>
      </c>
      <c r="P11" s="38">
        <f t="shared" si="5"/>
        <v>0</v>
      </c>
      <c r="Q11" s="38">
        <f t="shared" si="5"/>
        <v>0</v>
      </c>
      <c r="R11" s="38">
        <f t="shared" si="5"/>
        <v>0</v>
      </c>
      <c r="S11" s="38">
        <f t="shared" si="5"/>
        <v>139319.99999999997</v>
      </c>
      <c r="T11" s="38">
        <f t="shared" si="5"/>
        <v>0</v>
      </c>
      <c r="U11" s="38">
        <f t="shared" si="5"/>
        <v>0</v>
      </c>
      <c r="V11" s="38">
        <f t="shared" si="5"/>
        <v>0</v>
      </c>
      <c r="W11" s="38">
        <f t="shared" si="5"/>
        <v>0</v>
      </c>
      <c r="X11" s="38">
        <f t="shared" si="5"/>
        <v>0</v>
      </c>
      <c r="Y11" s="38">
        <f t="shared" si="5"/>
        <v>0</v>
      </c>
      <c r="Z11" s="38">
        <f t="shared" si="5"/>
        <v>0</v>
      </c>
      <c r="AA11" s="38">
        <f t="shared" si="5"/>
        <v>0</v>
      </c>
      <c r="AB11" s="38">
        <f t="shared" si="5"/>
        <v>0</v>
      </c>
      <c r="AC11" s="38">
        <f t="shared" si="5"/>
        <v>0</v>
      </c>
      <c r="AD11" s="38">
        <f t="shared" si="5"/>
        <v>102665.45454545453</v>
      </c>
      <c r="AE11" s="38">
        <f t="shared" si="5"/>
        <v>0</v>
      </c>
      <c r="AF11" s="38">
        <f t="shared" si="5"/>
        <v>0</v>
      </c>
    </row>
    <row r="12" spans="1:32" ht="13">
      <c r="B12" s="15" t="s">
        <v>2</v>
      </c>
      <c r="C12" s="29"/>
      <c r="D12" s="40" t="s">
        <v>15</v>
      </c>
      <c r="E12" s="31"/>
      <c r="F12" s="33"/>
      <c r="G12" s="33"/>
      <c r="H12" s="38">
        <f>H10-H11</f>
        <v>728280</v>
      </c>
      <c r="I12" s="38">
        <f t="shared" ref="I12:AF12" si="6">I10-I11</f>
        <v>0</v>
      </c>
      <c r="J12" s="38">
        <f t="shared" si="6"/>
        <v>0</v>
      </c>
      <c r="K12" s="38">
        <f t="shared" si="6"/>
        <v>0</v>
      </c>
      <c r="L12" s="38">
        <f t="shared" si="6"/>
        <v>0</v>
      </c>
      <c r="M12" s="38">
        <f t="shared" si="6"/>
        <v>0</v>
      </c>
      <c r="N12" s="38">
        <f t="shared" si="6"/>
        <v>0</v>
      </c>
      <c r="O12" s="38">
        <f t="shared" si="6"/>
        <v>0</v>
      </c>
      <c r="P12" s="38">
        <f t="shared" si="6"/>
        <v>0</v>
      </c>
      <c r="Q12" s="38">
        <f t="shared" si="6"/>
        <v>0</v>
      </c>
      <c r="R12" s="38">
        <f t="shared" si="6"/>
        <v>0</v>
      </c>
      <c r="S12" s="38">
        <f t="shared" si="6"/>
        <v>325080</v>
      </c>
      <c r="T12" s="38">
        <f t="shared" si="6"/>
        <v>0</v>
      </c>
      <c r="U12" s="38">
        <f t="shared" si="6"/>
        <v>0</v>
      </c>
      <c r="V12" s="38">
        <f t="shared" si="6"/>
        <v>0</v>
      </c>
      <c r="W12" s="38">
        <f t="shared" si="6"/>
        <v>0</v>
      </c>
      <c r="X12" s="38">
        <f t="shared" si="6"/>
        <v>0</v>
      </c>
      <c r="Y12" s="38">
        <f t="shared" si="6"/>
        <v>0</v>
      </c>
      <c r="Z12" s="38">
        <f t="shared" si="6"/>
        <v>0</v>
      </c>
      <c r="AA12" s="38">
        <f t="shared" si="6"/>
        <v>0</v>
      </c>
      <c r="AB12" s="38">
        <f t="shared" si="6"/>
        <v>0</v>
      </c>
      <c r="AC12" s="38">
        <f t="shared" si="6"/>
        <v>0</v>
      </c>
      <c r="AD12" s="38">
        <f t="shared" si="6"/>
        <v>239552.72727272724</v>
      </c>
      <c r="AE12" s="38">
        <f t="shared" si="6"/>
        <v>0</v>
      </c>
      <c r="AF12" s="38">
        <f t="shared" si="6"/>
        <v>0</v>
      </c>
    </row>
    <row r="13" spans="1:32" ht="13">
      <c r="B13" s="15" t="s">
        <v>178</v>
      </c>
      <c r="C13" s="29"/>
      <c r="D13" s="40" t="s">
        <v>15</v>
      </c>
      <c r="E13" s="31"/>
      <c r="F13" s="33"/>
      <c r="G13" s="33"/>
      <c r="H13" s="38">
        <f t="shared" ref="H13:AF13" si="7">IF(H7=1, H9*Storage_depreciationrate_storage*Storage_depreciation_on_capexpercentage, G13)</f>
        <v>80867.454545454544</v>
      </c>
      <c r="I13" s="38">
        <f t="shared" si="7"/>
        <v>80867.454545454544</v>
      </c>
      <c r="J13" s="38">
        <f t="shared" si="7"/>
        <v>80867.454545454544</v>
      </c>
      <c r="K13" s="38">
        <f t="shared" si="7"/>
        <v>80867.454545454544</v>
      </c>
      <c r="L13" s="38">
        <f t="shared" si="7"/>
        <v>80867.454545454544</v>
      </c>
      <c r="M13" s="38">
        <f t="shared" si="7"/>
        <v>80867.454545454544</v>
      </c>
      <c r="N13" s="38">
        <f t="shared" si="7"/>
        <v>80867.454545454544</v>
      </c>
      <c r="O13" s="38">
        <f t="shared" si="7"/>
        <v>80867.454545454544</v>
      </c>
      <c r="P13" s="38">
        <f t="shared" si="7"/>
        <v>80867.454545454544</v>
      </c>
      <c r="Q13" s="38">
        <f t="shared" si="7"/>
        <v>80867.454545454544</v>
      </c>
      <c r="R13" s="38">
        <f t="shared" si="7"/>
        <v>80867.454545454544</v>
      </c>
      <c r="S13" s="38">
        <f t="shared" si="7"/>
        <v>36096.545454545449</v>
      </c>
      <c r="T13" s="38">
        <f t="shared" si="7"/>
        <v>36096.545454545449</v>
      </c>
      <c r="U13" s="38">
        <f t="shared" si="7"/>
        <v>36096.545454545449</v>
      </c>
      <c r="V13" s="38">
        <f t="shared" si="7"/>
        <v>36096.545454545449</v>
      </c>
      <c r="W13" s="38">
        <f t="shared" si="7"/>
        <v>36096.545454545449</v>
      </c>
      <c r="X13" s="38">
        <f t="shared" si="7"/>
        <v>36096.545454545449</v>
      </c>
      <c r="Y13" s="38">
        <f t="shared" si="7"/>
        <v>36096.545454545449</v>
      </c>
      <c r="Z13" s="38">
        <f t="shared" si="7"/>
        <v>36096.545454545449</v>
      </c>
      <c r="AA13" s="38">
        <f t="shared" si="7"/>
        <v>36096.545454545449</v>
      </c>
      <c r="AB13" s="38">
        <f t="shared" si="7"/>
        <v>36096.545454545449</v>
      </c>
      <c r="AC13" s="38">
        <f t="shared" si="7"/>
        <v>36096.545454545449</v>
      </c>
      <c r="AD13" s="38">
        <f t="shared" si="7"/>
        <v>26599.685950413215</v>
      </c>
      <c r="AE13" s="38">
        <f t="shared" si="7"/>
        <v>26599.685950413215</v>
      </c>
      <c r="AF13" s="38">
        <f t="shared" si="7"/>
        <v>26599.685950413215</v>
      </c>
    </row>
    <row r="14" spans="1:32" ht="13">
      <c r="B14" s="15" t="s">
        <v>179</v>
      </c>
      <c r="C14" s="29"/>
      <c r="D14" s="40" t="s">
        <v>15</v>
      </c>
      <c r="E14" s="31"/>
      <c r="F14" s="33"/>
      <c r="G14" s="33"/>
      <c r="H14" s="38">
        <f t="shared" ref="H14:AF14" si="8">IF(H7=1, H10*Storage_depreciationrate_storage*Storage_depreciation_on_capexpercentage, G14)</f>
        <v>80867.454545454544</v>
      </c>
      <c r="I14" s="38">
        <f t="shared" si="8"/>
        <v>80867.454545454544</v>
      </c>
      <c r="J14" s="38">
        <f t="shared" si="8"/>
        <v>80867.454545454544</v>
      </c>
      <c r="K14" s="38">
        <f t="shared" si="8"/>
        <v>80867.454545454544</v>
      </c>
      <c r="L14" s="38">
        <f t="shared" si="8"/>
        <v>80867.454545454544</v>
      </c>
      <c r="M14" s="38">
        <f t="shared" si="8"/>
        <v>80867.454545454544</v>
      </c>
      <c r="N14" s="38">
        <f t="shared" si="8"/>
        <v>80867.454545454544</v>
      </c>
      <c r="O14" s="38">
        <f t="shared" si="8"/>
        <v>80867.454545454544</v>
      </c>
      <c r="P14" s="38">
        <f t="shared" si="8"/>
        <v>80867.454545454544</v>
      </c>
      <c r="Q14" s="38">
        <f t="shared" si="8"/>
        <v>80867.454545454544</v>
      </c>
      <c r="R14" s="38">
        <f t="shared" si="8"/>
        <v>80867.454545454544</v>
      </c>
      <c r="S14" s="38">
        <f t="shared" si="8"/>
        <v>36096.545454545449</v>
      </c>
      <c r="T14" s="38">
        <f t="shared" si="8"/>
        <v>36096.545454545449</v>
      </c>
      <c r="U14" s="38">
        <f t="shared" si="8"/>
        <v>36096.545454545449</v>
      </c>
      <c r="V14" s="38">
        <f t="shared" si="8"/>
        <v>36096.545454545449</v>
      </c>
      <c r="W14" s="38">
        <f t="shared" si="8"/>
        <v>36096.545454545449</v>
      </c>
      <c r="X14" s="38">
        <f t="shared" si="8"/>
        <v>36096.545454545449</v>
      </c>
      <c r="Y14" s="38">
        <f t="shared" si="8"/>
        <v>36096.545454545449</v>
      </c>
      <c r="Z14" s="38">
        <f t="shared" si="8"/>
        <v>36096.545454545449</v>
      </c>
      <c r="AA14" s="38">
        <f t="shared" si="8"/>
        <v>36096.545454545449</v>
      </c>
      <c r="AB14" s="38">
        <f t="shared" si="8"/>
        <v>36096.545454545449</v>
      </c>
      <c r="AC14" s="38">
        <f t="shared" si="8"/>
        <v>36096.545454545449</v>
      </c>
      <c r="AD14" s="38">
        <f t="shared" si="8"/>
        <v>26599.685950413215</v>
      </c>
      <c r="AE14" s="38">
        <f t="shared" si="8"/>
        <v>26599.685950413215</v>
      </c>
      <c r="AF14" s="38">
        <f t="shared" si="8"/>
        <v>26599.685950413215</v>
      </c>
    </row>
    <row r="15" spans="1:32" ht="13">
      <c r="B15" s="15" t="s">
        <v>32</v>
      </c>
      <c r="C15" s="29"/>
      <c r="D15" s="40" t="s">
        <v>15</v>
      </c>
      <c r="E15" s="31"/>
      <c r="F15" s="33"/>
      <c r="G15" s="33"/>
      <c r="H15" s="43">
        <f>IF(H7=1, H9, G15-G13)</f>
        <v>1040400</v>
      </c>
      <c r="I15" s="43">
        <f>IF(I7=1, I9, H15-H13)</f>
        <v>959532.54545454541</v>
      </c>
      <c r="J15" s="43">
        <f t="shared" ref="J15:AF15" si="9">IF(J7=1, J9, I15-I13)</f>
        <v>878665.09090909082</v>
      </c>
      <c r="K15" s="43">
        <f t="shared" si="9"/>
        <v>797797.63636363624</v>
      </c>
      <c r="L15" s="43">
        <f t="shared" si="9"/>
        <v>716930.18181818165</v>
      </c>
      <c r="M15" s="43">
        <f t="shared" si="9"/>
        <v>636062.72727272706</v>
      </c>
      <c r="N15" s="43">
        <f t="shared" si="9"/>
        <v>555195.27272727247</v>
      </c>
      <c r="O15" s="43">
        <f t="shared" si="9"/>
        <v>474327.81818181794</v>
      </c>
      <c r="P15" s="43">
        <f t="shared" si="9"/>
        <v>393460.36363636341</v>
      </c>
      <c r="Q15" s="43">
        <f t="shared" si="9"/>
        <v>312592.90909090888</v>
      </c>
      <c r="R15" s="43">
        <f t="shared" si="9"/>
        <v>231725.45454545435</v>
      </c>
      <c r="S15" s="43">
        <f t="shared" si="9"/>
        <v>464399.99999999994</v>
      </c>
      <c r="T15" s="43">
        <f t="shared" si="9"/>
        <v>428303.45454545447</v>
      </c>
      <c r="U15" s="43">
        <f t="shared" si="9"/>
        <v>392206.909090909</v>
      </c>
      <c r="V15" s="43">
        <f t="shared" si="9"/>
        <v>356110.36363636353</v>
      </c>
      <c r="W15" s="43">
        <f t="shared" si="9"/>
        <v>320013.81818181806</v>
      </c>
      <c r="X15" s="43">
        <f t="shared" si="9"/>
        <v>283917.27272727259</v>
      </c>
      <c r="Y15" s="43">
        <f t="shared" si="9"/>
        <v>247820.72727272715</v>
      </c>
      <c r="Z15" s="43">
        <f t="shared" si="9"/>
        <v>211724.18181818171</v>
      </c>
      <c r="AA15" s="43">
        <f t="shared" si="9"/>
        <v>175627.63636363627</v>
      </c>
      <c r="AB15" s="43">
        <f t="shared" si="9"/>
        <v>139531.09090909082</v>
      </c>
      <c r="AC15" s="43">
        <f t="shared" si="9"/>
        <v>103434.54545454538</v>
      </c>
      <c r="AD15" s="43">
        <f t="shared" si="9"/>
        <v>342218.18181818177</v>
      </c>
      <c r="AE15" s="43">
        <f t="shared" si="9"/>
        <v>315618.49586776854</v>
      </c>
      <c r="AF15" s="43">
        <f t="shared" si="9"/>
        <v>289018.80991735531</v>
      </c>
    </row>
    <row r="16" spans="1:32" ht="13">
      <c r="B16" s="15" t="s">
        <v>19</v>
      </c>
      <c r="C16" s="29"/>
      <c r="D16" s="40" t="s">
        <v>15</v>
      </c>
      <c r="E16" s="31"/>
      <c r="F16" s="33"/>
      <c r="G16" s="33"/>
      <c r="H16" s="38">
        <f t="shared" ref="H16:AF16" si="10">IF(H7=1,H9*Storage_OndMenergy_year1, G16+(G16*Storage_OandM_escalation))</f>
        <v>7074.7199999999993</v>
      </c>
      <c r="I16" s="38">
        <f t="shared" si="10"/>
        <v>7479.3939839999994</v>
      </c>
      <c r="J16" s="38">
        <f t="shared" si="10"/>
        <v>7907.2153198847991</v>
      </c>
      <c r="K16" s="38">
        <f t="shared" si="10"/>
        <v>8359.5080361822093</v>
      </c>
      <c r="L16" s="38">
        <f t="shared" si="10"/>
        <v>8837.6718958518322</v>
      </c>
      <c r="M16" s="38">
        <f t="shared" si="10"/>
        <v>9343.1867282945568</v>
      </c>
      <c r="N16" s="38">
        <f t="shared" si="10"/>
        <v>9877.6170091530057</v>
      </c>
      <c r="O16" s="38">
        <f t="shared" si="10"/>
        <v>10442.616702076557</v>
      </c>
      <c r="P16" s="38">
        <f t="shared" si="10"/>
        <v>11039.934377435337</v>
      </c>
      <c r="Q16" s="38">
        <f t="shared" si="10"/>
        <v>11671.418623824638</v>
      </c>
      <c r="R16" s="38">
        <f t="shared" si="10"/>
        <v>12339.023769107407</v>
      </c>
      <c r="S16" s="38">
        <f t="shared" si="10"/>
        <v>3157.9199999999996</v>
      </c>
      <c r="T16" s="38">
        <f t="shared" si="10"/>
        <v>3338.5530239999998</v>
      </c>
      <c r="U16" s="38">
        <f t="shared" si="10"/>
        <v>3529.5182569727999</v>
      </c>
      <c r="V16" s="38">
        <f t="shared" si="10"/>
        <v>3731.4067012716441</v>
      </c>
      <c r="W16" s="38">
        <f t="shared" si="10"/>
        <v>3944.8431645843821</v>
      </c>
      <c r="X16" s="38">
        <f t="shared" si="10"/>
        <v>4170.4881935986086</v>
      </c>
      <c r="Y16" s="38">
        <f t="shared" si="10"/>
        <v>4409.040118272449</v>
      </c>
      <c r="Z16" s="38">
        <f t="shared" si="10"/>
        <v>4661.2372130376334</v>
      </c>
      <c r="AA16" s="38">
        <f t="shared" si="10"/>
        <v>4927.8599816233864</v>
      </c>
      <c r="AB16" s="38">
        <f t="shared" si="10"/>
        <v>5209.7335725722442</v>
      </c>
      <c r="AC16" s="38">
        <f t="shared" si="10"/>
        <v>5507.7303329233764</v>
      </c>
      <c r="AD16" s="38">
        <f t="shared" si="10"/>
        <v>2327.0836363636358</v>
      </c>
      <c r="AE16" s="38">
        <f t="shared" si="10"/>
        <v>2460.1928203636357</v>
      </c>
      <c r="AF16" s="38">
        <f t="shared" si="10"/>
        <v>2600.9158496884356</v>
      </c>
    </row>
    <row r="17" spans="2:32" s="36" customFormat="1" ht="13">
      <c r="B17" s="15" t="s">
        <v>31</v>
      </c>
      <c r="C17" s="15"/>
      <c r="D17" s="40" t="s">
        <v>15</v>
      </c>
      <c r="E17" s="41"/>
      <c r="F17" s="41"/>
      <c r="G17" s="42"/>
      <c r="H17" s="89">
        <f t="shared" ref="H17:AF17" si="11">Storage_insurance*H15</f>
        <v>3641.4</v>
      </c>
      <c r="I17" s="89">
        <f t="shared" si="11"/>
        <v>3358.3639090909091</v>
      </c>
      <c r="J17" s="89">
        <f t="shared" si="11"/>
        <v>3075.3278181818177</v>
      </c>
      <c r="K17" s="89">
        <f t="shared" si="11"/>
        <v>2792.2917272727268</v>
      </c>
      <c r="L17" s="89">
        <f t="shared" si="11"/>
        <v>2509.2556363636359</v>
      </c>
      <c r="M17" s="89">
        <f t="shared" si="11"/>
        <v>2226.2195454545449</v>
      </c>
      <c r="N17" s="89">
        <f t="shared" si="11"/>
        <v>1943.1834545454537</v>
      </c>
      <c r="O17" s="89">
        <f t="shared" si="11"/>
        <v>1660.1473636363628</v>
      </c>
      <c r="P17" s="89">
        <f t="shared" si="11"/>
        <v>1377.1112727272721</v>
      </c>
      <c r="Q17" s="89">
        <f t="shared" si="11"/>
        <v>1094.0751818181811</v>
      </c>
      <c r="R17" s="89">
        <f t="shared" si="11"/>
        <v>811.03909090909031</v>
      </c>
      <c r="S17" s="89">
        <f t="shared" si="11"/>
        <v>1625.3999999999999</v>
      </c>
      <c r="T17" s="89">
        <f t="shared" si="11"/>
        <v>1499.0620909090908</v>
      </c>
      <c r="U17" s="89">
        <f t="shared" si="11"/>
        <v>1372.7241818181815</v>
      </c>
      <c r="V17" s="89">
        <f t="shared" si="11"/>
        <v>1246.3862727272724</v>
      </c>
      <c r="W17" s="89">
        <f t="shared" si="11"/>
        <v>1120.0483636363633</v>
      </c>
      <c r="X17" s="89">
        <f t="shared" si="11"/>
        <v>993.71045454545413</v>
      </c>
      <c r="Y17" s="89">
        <f t="shared" si="11"/>
        <v>867.37254545454505</v>
      </c>
      <c r="Z17" s="89">
        <f t="shared" si="11"/>
        <v>741.03463636363597</v>
      </c>
      <c r="AA17" s="89">
        <f t="shared" si="11"/>
        <v>614.69672727272689</v>
      </c>
      <c r="AB17" s="89">
        <f t="shared" si="11"/>
        <v>488.35881818181792</v>
      </c>
      <c r="AC17" s="89">
        <f t="shared" si="11"/>
        <v>362.02090909090884</v>
      </c>
      <c r="AD17" s="89">
        <f t="shared" si="11"/>
        <v>1197.7636363636361</v>
      </c>
      <c r="AE17" s="89">
        <f t="shared" si="11"/>
        <v>1104.6647355371899</v>
      </c>
      <c r="AF17" s="89">
        <f t="shared" si="11"/>
        <v>1011.5658347107436</v>
      </c>
    </row>
    <row r="18" spans="2:32" ht="13">
      <c r="B18" s="41" t="s">
        <v>13</v>
      </c>
      <c r="C18" s="41"/>
      <c r="D18" s="40" t="s">
        <v>15</v>
      </c>
      <c r="E18" s="41"/>
      <c r="F18" s="41"/>
      <c r="G18" s="42"/>
      <c r="H18" s="43">
        <f>H26</f>
        <v>76833.539999999994</v>
      </c>
      <c r="I18" s="43">
        <f t="shared" ref="I18:AF18" ca="1" si="12">I26</f>
        <v>76833.539999999994</v>
      </c>
      <c r="J18" s="43">
        <f t="shared" ca="1" si="12"/>
        <v>69150.186000000002</v>
      </c>
      <c r="K18" s="43">
        <f t="shared" ca="1" si="12"/>
        <v>61466.831999999995</v>
      </c>
      <c r="L18" s="43">
        <f t="shared" ca="1" si="12"/>
        <v>53783.477999999996</v>
      </c>
      <c r="M18" s="43">
        <f t="shared" ca="1" si="12"/>
        <v>46100.123999999996</v>
      </c>
      <c r="N18" s="43">
        <f t="shared" ca="1" si="12"/>
        <v>38416.769999999997</v>
      </c>
      <c r="O18" s="43">
        <f t="shared" ca="1" si="12"/>
        <v>30733.415999999997</v>
      </c>
      <c r="P18" s="43">
        <f t="shared" ca="1" si="12"/>
        <v>23050.061999999998</v>
      </c>
      <c r="Q18" s="43">
        <f t="shared" ca="1" si="12"/>
        <v>15366.707999999999</v>
      </c>
      <c r="R18" s="43">
        <f t="shared" ca="1" si="12"/>
        <v>7683.3539999999994</v>
      </c>
      <c r="S18" s="43">
        <f t="shared" si="12"/>
        <v>34295.94</v>
      </c>
      <c r="T18" s="43">
        <f t="shared" ca="1" si="12"/>
        <v>34295.94</v>
      </c>
      <c r="U18" s="43">
        <f t="shared" ca="1" si="12"/>
        <v>30866.345999999998</v>
      </c>
      <c r="V18" s="43">
        <f t="shared" ca="1" si="12"/>
        <v>27436.752</v>
      </c>
      <c r="W18" s="43">
        <f t="shared" ca="1" si="12"/>
        <v>24007.157999999999</v>
      </c>
      <c r="X18" s="43">
        <f t="shared" ca="1" si="12"/>
        <v>20577.563999999998</v>
      </c>
      <c r="Y18" s="43">
        <f t="shared" ca="1" si="12"/>
        <v>17147.97</v>
      </c>
      <c r="Z18" s="43">
        <f t="shared" ca="1" si="12"/>
        <v>13718.376</v>
      </c>
      <c r="AA18" s="43">
        <f t="shared" ca="1" si="12"/>
        <v>10288.781999999999</v>
      </c>
      <c r="AB18" s="43">
        <f t="shared" ca="1" si="12"/>
        <v>6859.1880000000001</v>
      </c>
      <c r="AC18" s="43">
        <f t="shared" ca="1" si="12"/>
        <v>3429.5940000000001</v>
      </c>
      <c r="AD18" s="43">
        <f t="shared" si="12"/>
        <v>25272.812727272722</v>
      </c>
      <c r="AE18" s="43">
        <f t="shared" ca="1" si="12"/>
        <v>25272.812727272722</v>
      </c>
      <c r="AF18" s="43">
        <f t="shared" ca="1" si="12"/>
        <v>22745.531454545449</v>
      </c>
    </row>
    <row r="19" spans="2:32" ht="13">
      <c r="B19" s="41" t="s">
        <v>8</v>
      </c>
      <c r="C19" s="41"/>
      <c r="D19" s="40" t="s">
        <v>15</v>
      </c>
      <c r="E19" s="41"/>
      <c r="F19" s="44"/>
      <c r="G19" s="45"/>
      <c r="H19" s="90">
        <f ca="1">H31+H33</f>
        <v>4368.8970079649989</v>
      </c>
      <c r="I19" s="90">
        <f t="shared" ref="I19:AF19" ca="1" si="13">I31+I33</f>
        <v>4375.2085030045982</v>
      </c>
      <c r="J19" s="90">
        <f t="shared" ca="1" si="13"/>
        <v>4234.2881021001613</v>
      </c>
      <c r="K19" s="90">
        <f t="shared" ca="1" si="13"/>
        <v>4094.0788463930903</v>
      </c>
      <c r="L19" s="90">
        <f t="shared" ca="1" si="13"/>
        <v>3954.6214133886747</v>
      </c>
      <c r="M19" s="90">
        <f t="shared" ca="1" si="13"/>
        <v>3815.958807345507</v>
      </c>
      <c r="N19" s="90">
        <f t="shared" ca="1" si="13"/>
        <v>3678.1364923657702</v>
      </c>
      <c r="O19" s="90">
        <f t="shared" ca="1" si="13"/>
        <v>3541.2025330982924</v>
      </c>
      <c r="P19" s="90">
        <f t="shared" ca="1" si="13"/>
        <v>3405.2077434898142</v>
      </c>
      <c r="Q19" s="90">
        <f t="shared" ca="1" si="13"/>
        <v>3270.2058440448322</v>
      </c>
      <c r="R19" s="90">
        <f t="shared" ca="1" si="13"/>
        <v>3136.2536280806958</v>
      </c>
      <c r="S19" s="90">
        <f t="shared" ca="1" si="13"/>
        <v>1950.130498365</v>
      </c>
      <c r="T19" s="90">
        <f t="shared" ca="1" si="13"/>
        <v>1952.9477400954777</v>
      </c>
      <c r="U19" s="90">
        <f t="shared" ca="1" si="13"/>
        <v>1890.0455542246391</v>
      </c>
      <c r="V19" s="90">
        <f t="shared" ca="1" si="13"/>
        <v>1827.4607999470886</v>
      </c>
      <c r="W19" s="90">
        <f t="shared" ca="1" si="13"/>
        <v>1765.211634349962</v>
      </c>
      <c r="X19" s="90">
        <f t="shared" ca="1" si="13"/>
        <v>1703.3172531057799</v>
      </c>
      <c r="Y19" s="90">
        <f t="shared" ca="1" si="13"/>
        <v>1641.7979498795305</v>
      </c>
      <c r="Z19" s="90">
        <f t="shared" ca="1" si="13"/>
        <v>1580.6751791338397</v>
      </c>
      <c r="AA19" s="90">
        <f t="shared" ca="1" si="13"/>
        <v>1519.971622526595</v>
      </c>
      <c r="AB19" s="90">
        <f t="shared" ca="1" si="13"/>
        <v>1459.7112591065165</v>
      </c>
      <c r="AC19" s="90">
        <f t="shared" ca="1" si="13"/>
        <v>1399.919439523909</v>
      </c>
      <c r="AD19" s="90">
        <f t="shared" ca="1" si="13"/>
        <v>1437.0588145104541</v>
      </c>
      <c r="AE19" s="90">
        <f t="shared" ca="1" si="13"/>
        <v>1439.1348509935433</v>
      </c>
      <c r="AF19" s="90">
        <f t="shared" ca="1" si="13"/>
        <v>1392.7819834631646</v>
      </c>
    </row>
    <row r="20" spans="2:32" ht="13">
      <c r="B20" s="15" t="s">
        <v>9</v>
      </c>
      <c r="C20" s="15"/>
      <c r="D20" s="40" t="s">
        <v>15</v>
      </c>
      <c r="E20" s="41"/>
      <c r="F20" s="46"/>
      <c r="G20" s="47"/>
      <c r="H20" s="90">
        <f t="shared" ref="H20:AF20" ca="1" si="14">OFFSET(H11,0,1-H7)*Storage_ROE</f>
        <v>54933.119999999995</v>
      </c>
      <c r="I20" s="90">
        <f t="shared" ca="1" si="14"/>
        <v>54933.119999999995</v>
      </c>
      <c r="J20" s="90">
        <f t="shared" ca="1" si="14"/>
        <v>54933.119999999995</v>
      </c>
      <c r="K20" s="90">
        <f t="shared" ca="1" si="14"/>
        <v>54933.119999999995</v>
      </c>
      <c r="L20" s="90">
        <f t="shared" ca="1" si="14"/>
        <v>54933.119999999995</v>
      </c>
      <c r="M20" s="90">
        <f t="shared" ca="1" si="14"/>
        <v>54933.119999999995</v>
      </c>
      <c r="N20" s="90">
        <f t="shared" ca="1" si="14"/>
        <v>54933.119999999995</v>
      </c>
      <c r="O20" s="90">
        <f t="shared" ca="1" si="14"/>
        <v>54933.119999999995</v>
      </c>
      <c r="P20" s="90">
        <f t="shared" ca="1" si="14"/>
        <v>54933.119999999995</v>
      </c>
      <c r="Q20" s="90">
        <f t="shared" ca="1" si="14"/>
        <v>54933.119999999995</v>
      </c>
      <c r="R20" s="90">
        <f t="shared" ca="1" si="14"/>
        <v>54933.119999999995</v>
      </c>
      <c r="S20" s="90">
        <f t="shared" ca="1" si="14"/>
        <v>24520.319999999992</v>
      </c>
      <c r="T20" s="90">
        <f t="shared" ca="1" si="14"/>
        <v>24520.319999999992</v>
      </c>
      <c r="U20" s="90">
        <f t="shared" ca="1" si="14"/>
        <v>24520.319999999992</v>
      </c>
      <c r="V20" s="90">
        <f t="shared" ca="1" si="14"/>
        <v>24520.319999999992</v>
      </c>
      <c r="W20" s="90">
        <f t="shared" ca="1" si="14"/>
        <v>24520.319999999992</v>
      </c>
      <c r="X20" s="90">
        <f t="shared" ca="1" si="14"/>
        <v>24520.319999999992</v>
      </c>
      <c r="Y20" s="90">
        <f t="shared" ca="1" si="14"/>
        <v>24520.319999999992</v>
      </c>
      <c r="Z20" s="90">
        <f t="shared" ca="1" si="14"/>
        <v>24520.319999999992</v>
      </c>
      <c r="AA20" s="90">
        <f t="shared" ca="1" si="14"/>
        <v>24520.319999999992</v>
      </c>
      <c r="AB20" s="90">
        <f t="shared" ca="1" si="14"/>
        <v>24520.319999999992</v>
      </c>
      <c r="AC20" s="90">
        <f t="shared" ca="1" si="14"/>
        <v>24520.319999999992</v>
      </c>
      <c r="AD20" s="90">
        <f t="shared" ca="1" si="14"/>
        <v>18069.119999999995</v>
      </c>
      <c r="AE20" s="90">
        <f t="shared" ca="1" si="14"/>
        <v>18069.119999999995</v>
      </c>
      <c r="AF20" s="90">
        <f t="shared" ca="1" si="14"/>
        <v>18069.119999999995</v>
      </c>
    </row>
    <row r="21" spans="2:32" ht="13">
      <c r="B21" s="39"/>
      <c r="C21" s="15"/>
      <c r="D21" s="40"/>
      <c r="E21" s="41"/>
      <c r="F21" s="41"/>
      <c r="G21" s="42"/>
      <c r="H21" s="43"/>
      <c r="I21" s="89"/>
      <c r="J21" s="89"/>
      <c r="K21" s="89"/>
      <c r="L21" s="89"/>
      <c r="M21" s="89"/>
      <c r="N21" s="89"/>
      <c r="O21" s="89"/>
      <c r="P21" s="89"/>
      <c r="Q21" s="89"/>
      <c r="R21" s="89"/>
      <c r="S21" s="89"/>
      <c r="T21" s="89"/>
      <c r="U21" s="89"/>
      <c r="V21" s="89"/>
      <c r="W21" s="89"/>
      <c r="X21" s="89"/>
      <c r="Y21" s="89"/>
      <c r="Z21" s="89"/>
      <c r="AA21" s="89"/>
      <c r="AB21" s="89"/>
      <c r="AC21" s="89"/>
      <c r="AD21" s="89"/>
      <c r="AE21" s="89"/>
      <c r="AF21" s="89"/>
    </row>
    <row r="22" spans="2:32" ht="13">
      <c r="B22" s="207" t="s">
        <v>2</v>
      </c>
      <c r="C22" s="92"/>
      <c r="D22" s="31"/>
      <c r="E22" s="93"/>
      <c r="F22" s="15"/>
      <c r="G22" s="37"/>
      <c r="H22" s="94"/>
      <c r="I22" s="94"/>
      <c r="J22" s="94"/>
      <c r="K22" s="94"/>
      <c r="L22" s="94"/>
      <c r="M22" s="94"/>
      <c r="N22" s="94"/>
      <c r="O22" s="94"/>
      <c r="P22" s="94"/>
      <c r="Q22" s="94"/>
      <c r="R22" s="94"/>
      <c r="S22" s="94"/>
      <c r="T22" s="94"/>
      <c r="U22" s="94"/>
      <c r="V22" s="94"/>
      <c r="W22" s="94"/>
      <c r="X22" s="94"/>
      <c r="Y22" s="94"/>
      <c r="Z22" s="94"/>
      <c r="AA22" s="94"/>
      <c r="AB22" s="94"/>
      <c r="AC22" s="94"/>
      <c r="AD22" s="94"/>
      <c r="AE22" s="94"/>
      <c r="AF22" s="94"/>
    </row>
    <row r="23" spans="2:32" ht="13">
      <c r="B23" s="15" t="s">
        <v>4</v>
      </c>
      <c r="C23" s="15"/>
      <c r="D23" s="17" t="s">
        <v>15</v>
      </c>
      <c r="E23" s="15"/>
      <c r="F23" s="15"/>
      <c r="G23" s="37"/>
      <c r="H23" s="38">
        <f t="shared" ref="H23:AF23" si="15">IF(H7=1, H12, G25)</f>
        <v>728280</v>
      </c>
      <c r="I23" s="38">
        <f t="shared" ca="1" si="15"/>
        <v>728280</v>
      </c>
      <c r="J23" s="38">
        <f t="shared" ca="1" si="15"/>
        <v>655452</v>
      </c>
      <c r="K23" s="38">
        <f t="shared" ca="1" si="15"/>
        <v>582624</v>
      </c>
      <c r="L23" s="38">
        <f t="shared" ca="1" si="15"/>
        <v>509796</v>
      </c>
      <c r="M23" s="38">
        <f t="shared" ca="1" si="15"/>
        <v>436968</v>
      </c>
      <c r="N23" s="38">
        <f t="shared" ca="1" si="15"/>
        <v>364140</v>
      </c>
      <c r="O23" s="38">
        <f t="shared" ca="1" si="15"/>
        <v>291312</v>
      </c>
      <c r="P23" s="38">
        <f t="shared" ca="1" si="15"/>
        <v>218484</v>
      </c>
      <c r="Q23" s="38">
        <f t="shared" ca="1" si="15"/>
        <v>145656</v>
      </c>
      <c r="R23" s="38">
        <f t="shared" ca="1" si="15"/>
        <v>72828</v>
      </c>
      <c r="S23" s="38">
        <f t="shared" si="15"/>
        <v>325080</v>
      </c>
      <c r="T23" s="38">
        <f t="shared" ca="1" si="15"/>
        <v>325080</v>
      </c>
      <c r="U23" s="38">
        <f t="shared" ca="1" si="15"/>
        <v>292572</v>
      </c>
      <c r="V23" s="38">
        <f t="shared" ca="1" si="15"/>
        <v>260064</v>
      </c>
      <c r="W23" s="38">
        <f t="shared" ca="1" si="15"/>
        <v>227556</v>
      </c>
      <c r="X23" s="38">
        <f t="shared" ca="1" si="15"/>
        <v>195048</v>
      </c>
      <c r="Y23" s="38">
        <f t="shared" ca="1" si="15"/>
        <v>162540</v>
      </c>
      <c r="Z23" s="38">
        <f t="shared" ca="1" si="15"/>
        <v>130032</v>
      </c>
      <c r="AA23" s="38">
        <f t="shared" ca="1" si="15"/>
        <v>97524</v>
      </c>
      <c r="AB23" s="38">
        <f t="shared" ca="1" si="15"/>
        <v>65016</v>
      </c>
      <c r="AC23" s="38">
        <f t="shared" ca="1" si="15"/>
        <v>32508</v>
      </c>
      <c r="AD23" s="38">
        <f t="shared" si="15"/>
        <v>239552.72727272724</v>
      </c>
      <c r="AE23" s="38">
        <f t="shared" ca="1" si="15"/>
        <v>239552.72727272724</v>
      </c>
      <c r="AF23" s="38">
        <f t="shared" ca="1" si="15"/>
        <v>215597.4545454545</v>
      </c>
    </row>
    <row r="24" spans="2:32" ht="13">
      <c r="B24" s="15" t="s">
        <v>5</v>
      </c>
      <c r="C24" s="15"/>
      <c r="D24" s="17" t="s">
        <v>15</v>
      </c>
      <c r="E24" s="15"/>
      <c r="F24" s="15"/>
      <c r="G24" s="37"/>
      <c r="H24" s="38">
        <f t="shared" ref="H24:AF24" ca="1" si="16">IF(H7&gt;Storage_moratorium, IF(H23&gt;0, OFFSET(H12,0,1-H7)/(Storage_life-Storage_moratorium), 0), 0)</f>
        <v>0</v>
      </c>
      <c r="I24" s="38">
        <f t="shared" ca="1" si="16"/>
        <v>72828</v>
      </c>
      <c r="J24" s="38">
        <f t="shared" ca="1" si="16"/>
        <v>72828</v>
      </c>
      <c r="K24" s="38">
        <f t="shared" ca="1" si="16"/>
        <v>72828</v>
      </c>
      <c r="L24" s="38">
        <f t="shared" ca="1" si="16"/>
        <v>72828</v>
      </c>
      <c r="M24" s="38">
        <f t="shared" ca="1" si="16"/>
        <v>72828</v>
      </c>
      <c r="N24" s="38">
        <f t="shared" ca="1" si="16"/>
        <v>72828</v>
      </c>
      <c r="O24" s="38">
        <f t="shared" ca="1" si="16"/>
        <v>72828</v>
      </c>
      <c r="P24" s="38">
        <f t="shared" ca="1" si="16"/>
        <v>72828</v>
      </c>
      <c r="Q24" s="38">
        <f t="shared" ca="1" si="16"/>
        <v>72828</v>
      </c>
      <c r="R24" s="38">
        <f t="shared" ca="1" si="16"/>
        <v>72828</v>
      </c>
      <c r="S24" s="38">
        <f t="shared" ca="1" si="16"/>
        <v>0</v>
      </c>
      <c r="T24" s="38">
        <f t="shared" ca="1" si="16"/>
        <v>32508</v>
      </c>
      <c r="U24" s="38">
        <f t="shared" ca="1" si="16"/>
        <v>32508</v>
      </c>
      <c r="V24" s="38">
        <f t="shared" ca="1" si="16"/>
        <v>32508</v>
      </c>
      <c r="W24" s="38">
        <f t="shared" ca="1" si="16"/>
        <v>32508</v>
      </c>
      <c r="X24" s="38">
        <f t="shared" ca="1" si="16"/>
        <v>32508</v>
      </c>
      <c r="Y24" s="38">
        <f t="shared" ca="1" si="16"/>
        <v>32508</v>
      </c>
      <c r="Z24" s="38">
        <f t="shared" ca="1" si="16"/>
        <v>32508</v>
      </c>
      <c r="AA24" s="38">
        <f t="shared" ca="1" si="16"/>
        <v>32508</v>
      </c>
      <c r="AB24" s="38">
        <f t="shared" ca="1" si="16"/>
        <v>32508</v>
      </c>
      <c r="AC24" s="38">
        <f t="shared" ca="1" si="16"/>
        <v>32508</v>
      </c>
      <c r="AD24" s="38">
        <f t="shared" ca="1" si="16"/>
        <v>0</v>
      </c>
      <c r="AE24" s="38">
        <f t="shared" ca="1" si="16"/>
        <v>23955.272727272724</v>
      </c>
      <c r="AF24" s="38">
        <f t="shared" ca="1" si="16"/>
        <v>23955.272727272724</v>
      </c>
    </row>
    <row r="25" spans="2:32" ht="13">
      <c r="B25" s="15" t="s">
        <v>6</v>
      </c>
      <c r="C25" s="15"/>
      <c r="D25" s="17" t="s">
        <v>15</v>
      </c>
      <c r="E25" s="15"/>
      <c r="F25" s="15"/>
      <c r="G25" s="37"/>
      <c r="H25" s="38">
        <f ca="1">H23-H24</f>
        <v>728280</v>
      </c>
      <c r="I25" s="38">
        <f ca="1">I23-I24</f>
        <v>655452</v>
      </c>
      <c r="J25" s="38">
        <f ca="1">J23-J24</f>
        <v>582624</v>
      </c>
      <c r="K25" s="38">
        <f t="shared" ref="K25:AF25" ca="1" si="17">K23-K24</f>
        <v>509796</v>
      </c>
      <c r="L25" s="38">
        <f t="shared" ca="1" si="17"/>
        <v>436968</v>
      </c>
      <c r="M25" s="38">
        <f t="shared" ca="1" si="17"/>
        <v>364140</v>
      </c>
      <c r="N25" s="38">
        <f t="shared" ca="1" si="17"/>
        <v>291312</v>
      </c>
      <c r="O25" s="38">
        <f t="shared" ca="1" si="17"/>
        <v>218484</v>
      </c>
      <c r="P25" s="38">
        <f t="shared" ca="1" si="17"/>
        <v>145656</v>
      </c>
      <c r="Q25" s="38">
        <f t="shared" ca="1" si="17"/>
        <v>72828</v>
      </c>
      <c r="R25" s="38">
        <f t="shared" ca="1" si="17"/>
        <v>0</v>
      </c>
      <c r="S25" s="38">
        <f t="shared" ca="1" si="17"/>
        <v>325080</v>
      </c>
      <c r="T25" s="38">
        <f t="shared" ca="1" si="17"/>
        <v>292572</v>
      </c>
      <c r="U25" s="38">
        <f t="shared" ca="1" si="17"/>
        <v>260064</v>
      </c>
      <c r="V25" s="38">
        <f t="shared" ca="1" si="17"/>
        <v>227556</v>
      </c>
      <c r="W25" s="38">
        <f t="shared" ca="1" si="17"/>
        <v>195048</v>
      </c>
      <c r="X25" s="38">
        <f t="shared" ca="1" si="17"/>
        <v>162540</v>
      </c>
      <c r="Y25" s="38">
        <f t="shared" ca="1" si="17"/>
        <v>130032</v>
      </c>
      <c r="Z25" s="38">
        <f t="shared" ca="1" si="17"/>
        <v>97524</v>
      </c>
      <c r="AA25" s="38">
        <f t="shared" ca="1" si="17"/>
        <v>65016</v>
      </c>
      <c r="AB25" s="38">
        <f t="shared" ca="1" si="17"/>
        <v>32508</v>
      </c>
      <c r="AC25" s="38">
        <f t="shared" ca="1" si="17"/>
        <v>0</v>
      </c>
      <c r="AD25" s="38">
        <f t="shared" ca="1" si="17"/>
        <v>239552.72727272724</v>
      </c>
      <c r="AE25" s="38">
        <f t="shared" ca="1" si="17"/>
        <v>215597.4545454545</v>
      </c>
      <c r="AF25" s="38">
        <f t="shared" ca="1" si="17"/>
        <v>191642.18181818177</v>
      </c>
    </row>
    <row r="26" spans="2:32" s="23" customFormat="1" ht="13">
      <c r="B26" s="62" t="s">
        <v>3</v>
      </c>
      <c r="C26" s="62"/>
      <c r="D26" s="17" t="s">
        <v>15</v>
      </c>
      <c r="E26" s="15"/>
      <c r="F26" s="46"/>
      <c r="G26" s="47"/>
      <c r="H26" s="90">
        <f t="shared" ref="H26:AF26" si="18">Storage_interest*H23</f>
        <v>76833.539999999994</v>
      </c>
      <c r="I26" s="90">
        <f t="shared" ca="1" si="18"/>
        <v>76833.539999999994</v>
      </c>
      <c r="J26" s="90">
        <f t="shared" ca="1" si="18"/>
        <v>69150.186000000002</v>
      </c>
      <c r="K26" s="90">
        <f t="shared" ca="1" si="18"/>
        <v>61466.831999999995</v>
      </c>
      <c r="L26" s="90">
        <f t="shared" ca="1" si="18"/>
        <v>53783.477999999996</v>
      </c>
      <c r="M26" s="90">
        <f t="shared" ca="1" si="18"/>
        <v>46100.123999999996</v>
      </c>
      <c r="N26" s="90">
        <f t="shared" ca="1" si="18"/>
        <v>38416.769999999997</v>
      </c>
      <c r="O26" s="90">
        <f t="shared" ca="1" si="18"/>
        <v>30733.415999999997</v>
      </c>
      <c r="P26" s="90">
        <f t="shared" ca="1" si="18"/>
        <v>23050.061999999998</v>
      </c>
      <c r="Q26" s="90">
        <f t="shared" ca="1" si="18"/>
        <v>15366.707999999999</v>
      </c>
      <c r="R26" s="90">
        <f t="shared" ca="1" si="18"/>
        <v>7683.3539999999994</v>
      </c>
      <c r="S26" s="90">
        <f t="shared" si="18"/>
        <v>34295.94</v>
      </c>
      <c r="T26" s="90">
        <f t="shared" ca="1" si="18"/>
        <v>34295.94</v>
      </c>
      <c r="U26" s="90">
        <f t="shared" ca="1" si="18"/>
        <v>30866.345999999998</v>
      </c>
      <c r="V26" s="90">
        <f t="shared" ca="1" si="18"/>
        <v>27436.752</v>
      </c>
      <c r="W26" s="90">
        <f t="shared" ca="1" si="18"/>
        <v>24007.157999999999</v>
      </c>
      <c r="X26" s="90">
        <f t="shared" ca="1" si="18"/>
        <v>20577.563999999998</v>
      </c>
      <c r="Y26" s="90">
        <f t="shared" ca="1" si="18"/>
        <v>17147.97</v>
      </c>
      <c r="Z26" s="90">
        <f t="shared" ca="1" si="18"/>
        <v>13718.376</v>
      </c>
      <c r="AA26" s="90">
        <f t="shared" ca="1" si="18"/>
        <v>10288.781999999999</v>
      </c>
      <c r="AB26" s="90">
        <f t="shared" ca="1" si="18"/>
        <v>6859.1880000000001</v>
      </c>
      <c r="AC26" s="90">
        <f t="shared" ca="1" si="18"/>
        <v>3429.5940000000001</v>
      </c>
      <c r="AD26" s="90">
        <f t="shared" si="18"/>
        <v>25272.812727272722</v>
      </c>
      <c r="AE26" s="90">
        <f t="shared" ca="1" si="18"/>
        <v>25272.812727272722</v>
      </c>
      <c r="AF26" s="90">
        <f t="shared" ca="1" si="18"/>
        <v>22745.531454545449</v>
      </c>
    </row>
    <row r="27" spans="2:32" s="51" customFormat="1" ht="13">
      <c r="B27" s="231" t="s">
        <v>16</v>
      </c>
      <c r="C27" s="95"/>
      <c r="D27" s="65" t="s">
        <v>15</v>
      </c>
      <c r="E27" s="15"/>
      <c r="F27" s="47"/>
      <c r="G27" s="47"/>
      <c r="H27" s="38">
        <f ca="1">H24+H26</f>
        <v>76833.539999999994</v>
      </c>
      <c r="I27" s="38">
        <f t="shared" ref="I27:AF27" ca="1" si="19">I24+I26</f>
        <v>149661.53999999998</v>
      </c>
      <c r="J27" s="38">
        <f t="shared" ca="1" si="19"/>
        <v>141978.18599999999</v>
      </c>
      <c r="K27" s="38">
        <f t="shared" ca="1" si="19"/>
        <v>134294.83199999999</v>
      </c>
      <c r="L27" s="38">
        <f t="shared" ca="1" si="19"/>
        <v>126611.478</v>
      </c>
      <c r="M27" s="38">
        <f t="shared" ca="1" si="19"/>
        <v>118928.124</v>
      </c>
      <c r="N27" s="38">
        <f t="shared" ca="1" si="19"/>
        <v>111244.76999999999</v>
      </c>
      <c r="O27" s="38">
        <f t="shared" ca="1" si="19"/>
        <v>103561.416</v>
      </c>
      <c r="P27" s="38">
        <f t="shared" ca="1" si="19"/>
        <v>95878.062000000005</v>
      </c>
      <c r="Q27" s="38">
        <f t="shared" ca="1" si="19"/>
        <v>88194.707999999999</v>
      </c>
      <c r="R27" s="38">
        <f t="shared" ca="1" si="19"/>
        <v>80511.353999999992</v>
      </c>
      <c r="S27" s="38">
        <f t="shared" ca="1" si="19"/>
        <v>34295.94</v>
      </c>
      <c r="T27" s="38">
        <f t="shared" ca="1" si="19"/>
        <v>66803.94</v>
      </c>
      <c r="U27" s="38">
        <f t="shared" ca="1" si="19"/>
        <v>63374.345999999998</v>
      </c>
      <c r="V27" s="38">
        <f t="shared" ca="1" si="19"/>
        <v>59944.752</v>
      </c>
      <c r="W27" s="38">
        <f t="shared" ca="1" si="19"/>
        <v>56515.157999999996</v>
      </c>
      <c r="X27" s="38">
        <f t="shared" ca="1" si="19"/>
        <v>53085.563999999998</v>
      </c>
      <c r="Y27" s="38">
        <f t="shared" ca="1" si="19"/>
        <v>49655.97</v>
      </c>
      <c r="Z27" s="38">
        <f t="shared" ca="1" si="19"/>
        <v>46226.376000000004</v>
      </c>
      <c r="AA27" s="38">
        <f t="shared" ca="1" si="19"/>
        <v>42796.781999999999</v>
      </c>
      <c r="AB27" s="38">
        <f t="shared" ca="1" si="19"/>
        <v>39367.188000000002</v>
      </c>
      <c r="AC27" s="38">
        <f t="shared" ca="1" si="19"/>
        <v>35937.593999999997</v>
      </c>
      <c r="AD27" s="38">
        <f t="shared" ca="1" si="19"/>
        <v>25272.812727272722</v>
      </c>
      <c r="AE27" s="38">
        <f t="shared" ca="1" si="19"/>
        <v>49228.085454545449</v>
      </c>
      <c r="AF27" s="38">
        <f t="shared" ca="1" si="19"/>
        <v>46700.804181818174</v>
      </c>
    </row>
    <row r="28" spans="2:32" s="51" customFormat="1" ht="13">
      <c r="B28" s="15"/>
      <c r="C28" s="15"/>
      <c r="D28" s="65"/>
      <c r="E28" s="15"/>
      <c r="F28" s="96"/>
      <c r="G28" s="96"/>
      <c r="H28" s="97"/>
      <c r="I28" s="97"/>
      <c r="J28" s="97"/>
      <c r="K28" s="97"/>
      <c r="L28" s="97"/>
      <c r="M28" s="97"/>
      <c r="N28" s="97"/>
      <c r="O28" s="97"/>
      <c r="P28" s="97"/>
      <c r="Q28" s="97"/>
      <c r="R28" s="97"/>
      <c r="S28" s="97"/>
      <c r="T28" s="97"/>
      <c r="U28" s="97"/>
      <c r="V28" s="97"/>
      <c r="W28" s="97"/>
      <c r="X28" s="97"/>
      <c r="Y28" s="97"/>
      <c r="Z28" s="97"/>
      <c r="AA28" s="97"/>
      <c r="AB28" s="97"/>
      <c r="AC28" s="97"/>
      <c r="AD28" s="97"/>
      <c r="AE28" s="97"/>
      <c r="AF28" s="97"/>
    </row>
    <row r="29" spans="2:32" s="51" customFormat="1" ht="13">
      <c r="B29" s="207" t="s">
        <v>12</v>
      </c>
      <c r="C29" s="92"/>
      <c r="D29" s="31"/>
      <c r="E29" s="15"/>
      <c r="F29" s="98"/>
      <c r="G29" s="96"/>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row>
    <row r="30" spans="2:32" s="51" customFormat="1" ht="13">
      <c r="B30" s="41" t="s">
        <v>173</v>
      </c>
      <c r="C30" s="15"/>
      <c r="D30" s="17" t="s">
        <v>15</v>
      </c>
      <c r="E30" s="15"/>
      <c r="F30" s="98"/>
      <c r="G30" s="96"/>
      <c r="H30" s="38">
        <f t="shared" ref="H30:AF30" si="20">H16/(12/Storage_workingcapital_OandM)</f>
        <v>589.55999999999995</v>
      </c>
      <c r="I30" s="38">
        <f t="shared" si="20"/>
        <v>623.28283199999998</v>
      </c>
      <c r="J30" s="38">
        <f t="shared" si="20"/>
        <v>658.93460999039996</v>
      </c>
      <c r="K30" s="38">
        <f t="shared" si="20"/>
        <v>696.62566968185081</v>
      </c>
      <c r="L30" s="38">
        <f t="shared" si="20"/>
        <v>736.47265798765272</v>
      </c>
      <c r="M30" s="38">
        <f t="shared" si="20"/>
        <v>778.59889402454644</v>
      </c>
      <c r="N30" s="38">
        <f t="shared" si="20"/>
        <v>823.13475076275051</v>
      </c>
      <c r="O30" s="38">
        <f t="shared" si="20"/>
        <v>870.21805850637975</v>
      </c>
      <c r="P30" s="38">
        <f t="shared" si="20"/>
        <v>919.99453145294467</v>
      </c>
      <c r="Q30" s="38">
        <f t="shared" si="20"/>
        <v>972.6182186520532</v>
      </c>
      <c r="R30" s="38">
        <f t="shared" si="20"/>
        <v>1028.2519807589506</v>
      </c>
      <c r="S30" s="38">
        <f t="shared" si="20"/>
        <v>263.15999999999997</v>
      </c>
      <c r="T30" s="38">
        <f t="shared" si="20"/>
        <v>278.21275199999997</v>
      </c>
      <c r="U30" s="38">
        <f t="shared" si="20"/>
        <v>294.12652141439997</v>
      </c>
      <c r="V30" s="38">
        <f t="shared" si="20"/>
        <v>310.95055843930368</v>
      </c>
      <c r="W30" s="38">
        <f t="shared" si="20"/>
        <v>328.73693038203186</v>
      </c>
      <c r="X30" s="38">
        <f t="shared" si="20"/>
        <v>347.54068279988405</v>
      </c>
      <c r="Y30" s="38">
        <f t="shared" si="20"/>
        <v>367.42000985603744</v>
      </c>
      <c r="Z30" s="38">
        <f t="shared" si="20"/>
        <v>388.43643441980277</v>
      </c>
      <c r="AA30" s="38">
        <f t="shared" si="20"/>
        <v>410.65499846861553</v>
      </c>
      <c r="AB30" s="38">
        <f t="shared" si="20"/>
        <v>434.14446438102033</v>
      </c>
      <c r="AC30" s="38">
        <f t="shared" si="20"/>
        <v>458.9775277436147</v>
      </c>
      <c r="AD30" s="38">
        <f t="shared" si="20"/>
        <v>193.92363636363632</v>
      </c>
      <c r="AE30" s="38">
        <f t="shared" si="20"/>
        <v>205.01606836363632</v>
      </c>
      <c r="AF30" s="38">
        <f t="shared" si="20"/>
        <v>216.74298747403631</v>
      </c>
    </row>
    <row r="31" spans="2:32" s="51" customFormat="1" ht="13">
      <c r="B31" s="15" t="s">
        <v>172</v>
      </c>
      <c r="C31" s="15"/>
      <c r="D31" s="17"/>
      <c r="E31" s="15"/>
      <c r="F31" s="98"/>
      <c r="G31" s="96"/>
      <c r="H31" s="90">
        <f t="shared" ref="H31:AF31" si="21">H30*Storage_interest_workingcap</f>
        <v>68.094179999999994</v>
      </c>
      <c r="I31" s="90">
        <f t="shared" si="21"/>
        <v>71.989167096000003</v>
      </c>
      <c r="J31" s="90">
        <f t="shared" si="21"/>
        <v>76.106947453891195</v>
      </c>
      <c r="K31" s="90">
        <f t="shared" si="21"/>
        <v>80.460264848253772</v>
      </c>
      <c r="L31" s="90">
        <f t="shared" si="21"/>
        <v>85.06259199757389</v>
      </c>
      <c r="M31" s="90">
        <f t="shared" si="21"/>
        <v>89.928172259835122</v>
      </c>
      <c r="N31" s="90">
        <f t="shared" si="21"/>
        <v>95.072063713097691</v>
      </c>
      <c r="O31" s="90">
        <f t="shared" si="21"/>
        <v>100.51018575748687</v>
      </c>
      <c r="P31" s="90">
        <f t="shared" si="21"/>
        <v>106.25936838281511</v>
      </c>
      <c r="Q31" s="90">
        <f t="shared" si="21"/>
        <v>112.33740425431215</v>
      </c>
      <c r="R31" s="90">
        <f t="shared" si="21"/>
        <v>118.7631037776588</v>
      </c>
      <c r="S31" s="90">
        <f t="shared" si="21"/>
        <v>30.394979999999997</v>
      </c>
      <c r="T31" s="90">
        <f t="shared" si="21"/>
        <v>32.133572856000001</v>
      </c>
      <c r="U31" s="90">
        <f t="shared" si="21"/>
        <v>33.9716132233632</v>
      </c>
      <c r="V31" s="90">
        <f t="shared" si="21"/>
        <v>35.914789499739577</v>
      </c>
      <c r="W31" s="90">
        <f t="shared" si="21"/>
        <v>37.96911545912468</v>
      </c>
      <c r="X31" s="90">
        <f t="shared" si="21"/>
        <v>40.140948863386612</v>
      </c>
      <c r="Y31" s="90">
        <f t="shared" si="21"/>
        <v>42.437011138372327</v>
      </c>
      <c r="Z31" s="90">
        <f t="shared" si="21"/>
        <v>44.86440817548722</v>
      </c>
      <c r="AA31" s="90">
        <f t="shared" si="21"/>
        <v>47.430652323125095</v>
      </c>
      <c r="AB31" s="90">
        <f t="shared" si="21"/>
        <v>50.143685636007852</v>
      </c>
      <c r="AC31" s="90">
        <f t="shared" si="21"/>
        <v>53.011904454387498</v>
      </c>
      <c r="AD31" s="90">
        <f t="shared" si="21"/>
        <v>22.398179999999996</v>
      </c>
      <c r="AE31" s="90">
        <f t="shared" si="21"/>
        <v>23.679355895999997</v>
      </c>
      <c r="AF31" s="90">
        <f t="shared" si="21"/>
        <v>25.033815053251196</v>
      </c>
    </row>
    <row r="32" spans="2:32" s="51" customFormat="1" ht="13">
      <c r="B32" s="15" t="s">
        <v>176</v>
      </c>
      <c r="C32" s="15"/>
      <c r="D32" s="17" t="s">
        <v>15</v>
      </c>
      <c r="E32" s="15"/>
      <c r="F32" s="15"/>
      <c r="G32" s="37"/>
      <c r="H32" s="38">
        <f t="shared" ref="H32:AF32" ca="1" si="22">IF(Storage_workingcapital_receivables&gt;0, (H16+H17+H14+H18+H20+H31)/(12/Storage_workingcapital_receivables),0)</f>
        <v>37236.388120909083</v>
      </c>
      <c r="I32" s="38">
        <f t="shared" ca="1" si="22"/>
        <v>37257.31026760691</v>
      </c>
      <c r="J32" s="38">
        <f t="shared" ca="1" si="22"/>
        <v>36001.568438495844</v>
      </c>
      <c r="K32" s="38">
        <f t="shared" ca="1" si="22"/>
        <v>34749.944428959621</v>
      </c>
      <c r="L32" s="38">
        <f t="shared" ca="1" si="22"/>
        <v>33502.673778277931</v>
      </c>
      <c r="M32" s="38">
        <f t="shared" ca="1" si="22"/>
        <v>32260.005498577244</v>
      </c>
      <c r="N32" s="38">
        <f t="shared" ca="1" si="22"/>
        <v>31022.202845477685</v>
      </c>
      <c r="O32" s="38">
        <f t="shared" ca="1" si="22"/>
        <v>29789.544132820825</v>
      </c>
      <c r="P32" s="38">
        <f t="shared" ca="1" si="22"/>
        <v>28562.32359399999</v>
      </c>
      <c r="Q32" s="38">
        <f t="shared" ca="1" si="22"/>
        <v>27340.852292558611</v>
      </c>
      <c r="R32" s="38">
        <f t="shared" ca="1" si="22"/>
        <v>26125.459084874779</v>
      </c>
      <c r="S32" s="38">
        <f t="shared" ca="1" si="22"/>
        <v>16621.086739090908</v>
      </c>
      <c r="T32" s="38">
        <f t="shared" ca="1" si="22"/>
        <v>16630.425690385087</v>
      </c>
      <c r="U32" s="38">
        <f t="shared" ca="1" si="22"/>
        <v>16069.904251093298</v>
      </c>
      <c r="V32" s="38">
        <f t="shared" ca="1" si="22"/>
        <v>15511.220869674018</v>
      </c>
      <c r="W32" s="38">
        <f t="shared" ca="1" si="22"/>
        <v>14954.480683037553</v>
      </c>
      <c r="X32" s="38">
        <f t="shared" ca="1" si="22"/>
        <v>14399.794841925481</v>
      </c>
      <c r="Y32" s="38">
        <f t="shared" ca="1" si="22"/>
        <v>13847.280854901801</v>
      </c>
      <c r="Z32" s="38">
        <f t="shared" ca="1" si="22"/>
        <v>13297.062952020367</v>
      </c>
      <c r="AA32" s="38">
        <f t="shared" ca="1" si="22"/>
        <v>12749.272469294112</v>
      </c>
      <c r="AB32" s="38">
        <f t="shared" ca="1" si="22"/>
        <v>12204.048255155918</v>
      </c>
      <c r="AC32" s="38">
        <f t="shared" ca="1" si="22"/>
        <v>11661.537100169016</v>
      </c>
      <c r="AD32" s="38">
        <f t="shared" ca="1" si="22"/>
        <v>12248.144021735534</v>
      </c>
      <c r="AE32" s="38">
        <f t="shared" ca="1" si="22"/>
        <v>12255.02593158046</v>
      </c>
      <c r="AF32" s="38">
        <f t="shared" ca="1" si="22"/>
        <v>11841.975484068515</v>
      </c>
    </row>
    <row r="33" spans="2:32" ht="13">
      <c r="B33" s="15" t="s">
        <v>177</v>
      </c>
      <c r="C33" s="59"/>
      <c r="D33" s="65" t="s">
        <v>15</v>
      </c>
      <c r="E33" s="15"/>
      <c r="F33" s="45"/>
      <c r="G33" s="45"/>
      <c r="H33" s="89">
        <f t="shared" ref="H33:AF33" ca="1" si="23">H32*Storage_interest_workingcap</f>
        <v>4300.8028279649989</v>
      </c>
      <c r="I33" s="89">
        <f t="shared" ca="1" si="23"/>
        <v>4303.2193359085986</v>
      </c>
      <c r="J33" s="89">
        <f t="shared" ca="1" si="23"/>
        <v>4158.1811546462704</v>
      </c>
      <c r="K33" s="89">
        <f t="shared" ca="1" si="23"/>
        <v>4013.6185815448366</v>
      </c>
      <c r="L33" s="89">
        <f t="shared" ca="1" si="23"/>
        <v>3869.558821391101</v>
      </c>
      <c r="M33" s="89">
        <f t="shared" ca="1" si="23"/>
        <v>3726.0306350856717</v>
      </c>
      <c r="N33" s="89">
        <f t="shared" ca="1" si="23"/>
        <v>3583.0644286526726</v>
      </c>
      <c r="O33" s="89">
        <f t="shared" ca="1" si="23"/>
        <v>3440.6923473408056</v>
      </c>
      <c r="P33" s="89">
        <f t="shared" ca="1" si="23"/>
        <v>3298.9483751069993</v>
      </c>
      <c r="Q33" s="89">
        <f t="shared" ca="1" si="23"/>
        <v>3157.8684397905199</v>
      </c>
      <c r="R33" s="89">
        <f t="shared" ca="1" si="23"/>
        <v>3017.4905243030371</v>
      </c>
      <c r="S33" s="89">
        <f t="shared" ca="1" si="23"/>
        <v>1919.735518365</v>
      </c>
      <c r="T33" s="89">
        <f t="shared" ca="1" si="23"/>
        <v>1920.8141672394777</v>
      </c>
      <c r="U33" s="89">
        <f t="shared" ca="1" si="23"/>
        <v>1856.0739410012759</v>
      </c>
      <c r="V33" s="89">
        <f t="shared" ca="1" si="23"/>
        <v>1791.5460104473491</v>
      </c>
      <c r="W33" s="89">
        <f t="shared" ca="1" si="23"/>
        <v>1727.2425188908373</v>
      </c>
      <c r="X33" s="89">
        <f t="shared" ca="1" si="23"/>
        <v>1663.1763042423931</v>
      </c>
      <c r="Y33" s="89">
        <f t="shared" ca="1" si="23"/>
        <v>1599.3609387411582</v>
      </c>
      <c r="Z33" s="89">
        <f t="shared" ca="1" si="23"/>
        <v>1535.8107709583526</v>
      </c>
      <c r="AA33" s="89">
        <f t="shared" ca="1" si="23"/>
        <v>1472.5409702034699</v>
      </c>
      <c r="AB33" s="89">
        <f t="shared" ca="1" si="23"/>
        <v>1409.5675734705087</v>
      </c>
      <c r="AC33" s="89">
        <f t="shared" ca="1" si="23"/>
        <v>1346.9075350695214</v>
      </c>
      <c r="AD33" s="89">
        <f t="shared" ca="1" si="23"/>
        <v>1414.6606345104542</v>
      </c>
      <c r="AE33" s="89">
        <f t="shared" ca="1" si="23"/>
        <v>1415.4554950975432</v>
      </c>
      <c r="AF33" s="89">
        <f t="shared" ca="1" si="23"/>
        <v>1367.7481684099134</v>
      </c>
    </row>
    <row r="34" spans="2:32" ht="13">
      <c r="B34" s="39"/>
      <c r="C34" s="15"/>
      <c r="D34" s="40"/>
      <c r="E34" s="41"/>
      <c r="F34" s="41"/>
      <c r="G34" s="42"/>
      <c r="H34" s="43"/>
      <c r="I34" s="89"/>
      <c r="J34" s="89"/>
      <c r="K34" s="89"/>
      <c r="L34" s="89"/>
      <c r="M34" s="89"/>
      <c r="N34" s="89"/>
      <c r="O34" s="89"/>
      <c r="P34" s="89"/>
      <c r="Q34" s="89"/>
      <c r="R34" s="89"/>
      <c r="S34" s="89"/>
      <c r="T34" s="89"/>
      <c r="U34" s="89"/>
      <c r="V34" s="89"/>
      <c r="W34" s="89"/>
      <c r="X34" s="89"/>
      <c r="Y34" s="89"/>
      <c r="Z34" s="89"/>
      <c r="AA34" s="89"/>
      <c r="AB34" s="89"/>
      <c r="AC34" s="89"/>
      <c r="AD34" s="89"/>
      <c r="AE34" s="89"/>
      <c r="AF34" s="89"/>
    </row>
    <row r="35" spans="2:32" ht="14.5">
      <c r="B35" s="205" t="s">
        <v>129</v>
      </c>
      <c r="C35" s="29"/>
      <c r="D35" s="30"/>
      <c r="E35" s="31"/>
      <c r="F35" s="32"/>
      <c r="G35" s="3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row>
    <row r="36" spans="2:32" ht="13">
      <c r="B36" s="15" t="s">
        <v>89</v>
      </c>
      <c r="C36" s="29"/>
      <c r="D36" s="88"/>
      <c r="E36" s="31"/>
      <c r="F36" s="33"/>
      <c r="G36" s="33"/>
      <c r="H36" s="91">
        <f>Storage_base_year</f>
        <v>2020</v>
      </c>
      <c r="I36" s="91">
        <f>H36+1</f>
        <v>2021</v>
      </c>
      <c r="J36" s="91">
        <f t="shared" ref="J36:AF36" si="24">I36+1</f>
        <v>2022</v>
      </c>
      <c r="K36" s="91">
        <f t="shared" si="24"/>
        <v>2023</v>
      </c>
      <c r="L36" s="91">
        <f t="shared" si="24"/>
        <v>2024</v>
      </c>
      <c r="M36" s="91">
        <f t="shared" si="24"/>
        <v>2025</v>
      </c>
      <c r="N36" s="91">
        <f t="shared" si="24"/>
        <v>2026</v>
      </c>
      <c r="O36" s="91">
        <f t="shared" si="24"/>
        <v>2027</v>
      </c>
      <c r="P36" s="91">
        <f t="shared" si="24"/>
        <v>2028</v>
      </c>
      <c r="Q36" s="91">
        <f t="shared" si="24"/>
        <v>2029</v>
      </c>
      <c r="R36" s="91">
        <f t="shared" si="24"/>
        <v>2030</v>
      </c>
      <c r="S36" s="91">
        <f t="shared" si="24"/>
        <v>2031</v>
      </c>
      <c r="T36" s="91">
        <f t="shared" si="24"/>
        <v>2032</v>
      </c>
      <c r="U36" s="91">
        <f t="shared" si="24"/>
        <v>2033</v>
      </c>
      <c r="V36" s="91">
        <f t="shared" si="24"/>
        <v>2034</v>
      </c>
      <c r="W36" s="91">
        <f t="shared" si="24"/>
        <v>2035</v>
      </c>
      <c r="X36" s="91">
        <f t="shared" si="24"/>
        <v>2036</v>
      </c>
      <c r="Y36" s="91">
        <f t="shared" si="24"/>
        <v>2037</v>
      </c>
      <c r="Z36" s="91">
        <f t="shared" si="24"/>
        <v>2038</v>
      </c>
      <c r="AA36" s="91">
        <f t="shared" si="24"/>
        <v>2039</v>
      </c>
      <c r="AB36" s="91">
        <f t="shared" si="24"/>
        <v>2040</v>
      </c>
      <c r="AC36" s="91">
        <f t="shared" si="24"/>
        <v>2041</v>
      </c>
      <c r="AD36" s="91">
        <f t="shared" si="24"/>
        <v>2042</v>
      </c>
      <c r="AE36" s="91">
        <f t="shared" si="24"/>
        <v>2043</v>
      </c>
      <c r="AF36" s="91">
        <f t="shared" si="24"/>
        <v>2044</v>
      </c>
    </row>
    <row r="37" spans="2:32" ht="13">
      <c r="B37" s="15" t="s">
        <v>130</v>
      </c>
      <c r="C37" s="29"/>
      <c r="D37" s="40"/>
      <c r="E37" s="31"/>
      <c r="F37" s="33"/>
      <c r="G37" s="33"/>
      <c r="H37" s="38">
        <f t="shared" ref="H37:AF37" si="25">IF(MOD(H3,Storage_inverter_replacementyear-1)=0, Storage_inverter_replacementyear-1, MOD(H3,Storage_inverter_replacementyear-1))</f>
        <v>1</v>
      </c>
      <c r="I37" s="38">
        <f t="shared" si="25"/>
        <v>2</v>
      </c>
      <c r="J37" s="38">
        <f t="shared" si="25"/>
        <v>3</v>
      </c>
      <c r="K37" s="38">
        <f t="shared" si="25"/>
        <v>4</v>
      </c>
      <c r="L37" s="38">
        <f t="shared" si="25"/>
        <v>5</v>
      </c>
      <c r="M37" s="38">
        <f t="shared" si="25"/>
        <v>6</v>
      </c>
      <c r="N37" s="38">
        <f t="shared" si="25"/>
        <v>7</v>
      </c>
      <c r="O37" s="38">
        <f t="shared" si="25"/>
        <v>8</v>
      </c>
      <c r="P37" s="38">
        <f t="shared" si="25"/>
        <v>9</v>
      </c>
      <c r="Q37" s="38">
        <f t="shared" si="25"/>
        <v>10</v>
      </c>
      <c r="R37" s="38">
        <f t="shared" si="25"/>
        <v>11</v>
      </c>
      <c r="S37" s="38">
        <f t="shared" si="25"/>
        <v>12</v>
      </c>
      <c r="T37" s="38">
        <f t="shared" si="25"/>
        <v>13</v>
      </c>
      <c r="U37" s="38">
        <f t="shared" si="25"/>
        <v>1</v>
      </c>
      <c r="V37" s="38">
        <f t="shared" si="25"/>
        <v>2</v>
      </c>
      <c r="W37" s="38">
        <f t="shared" si="25"/>
        <v>3</v>
      </c>
      <c r="X37" s="38">
        <f t="shared" si="25"/>
        <v>4</v>
      </c>
      <c r="Y37" s="38">
        <f t="shared" si="25"/>
        <v>5</v>
      </c>
      <c r="Z37" s="38">
        <f t="shared" si="25"/>
        <v>6</v>
      </c>
      <c r="AA37" s="38">
        <f t="shared" si="25"/>
        <v>7</v>
      </c>
      <c r="AB37" s="38">
        <f t="shared" si="25"/>
        <v>8</v>
      </c>
      <c r="AC37" s="38">
        <f t="shared" si="25"/>
        <v>9</v>
      </c>
      <c r="AD37" s="38">
        <f t="shared" si="25"/>
        <v>10</v>
      </c>
      <c r="AE37" s="38">
        <f t="shared" si="25"/>
        <v>11</v>
      </c>
      <c r="AF37" s="38">
        <f t="shared" si="25"/>
        <v>12</v>
      </c>
    </row>
    <row r="38" spans="2:32" ht="13">
      <c r="B38" s="15" t="s">
        <v>131</v>
      </c>
      <c r="C38" s="29"/>
      <c r="D38" s="40" t="s">
        <v>15</v>
      </c>
      <c r="E38" s="31"/>
      <c r="F38" s="33"/>
      <c r="G38" s="33"/>
      <c r="H38" s="38">
        <f t="shared" ref="H38:AF38" si="26">IF(H37=1, IF(H36=Storage_base_year, Storage_invertercapex_perkW, Storage_invertercapex_perkW*Storage_inverter_costimprovement), 0)</f>
        <v>20000</v>
      </c>
      <c r="I38" s="38">
        <f t="shared" si="26"/>
        <v>0</v>
      </c>
      <c r="J38" s="38">
        <f t="shared" si="26"/>
        <v>0</v>
      </c>
      <c r="K38" s="38">
        <f t="shared" si="26"/>
        <v>0</v>
      </c>
      <c r="L38" s="38">
        <f t="shared" si="26"/>
        <v>0</v>
      </c>
      <c r="M38" s="38">
        <f t="shared" si="26"/>
        <v>0</v>
      </c>
      <c r="N38" s="38">
        <f t="shared" si="26"/>
        <v>0</v>
      </c>
      <c r="O38" s="38">
        <f t="shared" si="26"/>
        <v>0</v>
      </c>
      <c r="P38" s="38">
        <f t="shared" si="26"/>
        <v>0</v>
      </c>
      <c r="Q38" s="38">
        <f t="shared" si="26"/>
        <v>0</v>
      </c>
      <c r="R38" s="38">
        <f t="shared" si="26"/>
        <v>0</v>
      </c>
      <c r="S38" s="38">
        <f t="shared" si="26"/>
        <v>0</v>
      </c>
      <c r="T38" s="38">
        <f t="shared" si="26"/>
        <v>0</v>
      </c>
      <c r="U38" s="38">
        <f t="shared" si="26"/>
        <v>12000</v>
      </c>
      <c r="V38" s="38">
        <f t="shared" si="26"/>
        <v>0</v>
      </c>
      <c r="W38" s="38">
        <f t="shared" si="26"/>
        <v>0</v>
      </c>
      <c r="X38" s="38">
        <f t="shared" si="26"/>
        <v>0</v>
      </c>
      <c r="Y38" s="38">
        <f t="shared" si="26"/>
        <v>0</v>
      </c>
      <c r="Z38" s="38">
        <f t="shared" si="26"/>
        <v>0</v>
      </c>
      <c r="AA38" s="38">
        <f t="shared" si="26"/>
        <v>0</v>
      </c>
      <c r="AB38" s="38">
        <f t="shared" si="26"/>
        <v>0</v>
      </c>
      <c r="AC38" s="38">
        <f t="shared" si="26"/>
        <v>0</v>
      </c>
      <c r="AD38" s="38">
        <f t="shared" si="26"/>
        <v>0</v>
      </c>
      <c r="AE38" s="38">
        <f t="shared" si="26"/>
        <v>0</v>
      </c>
      <c r="AF38" s="38">
        <f t="shared" si="26"/>
        <v>0</v>
      </c>
    </row>
    <row r="39" spans="2:32" ht="13">
      <c r="B39" s="15" t="s">
        <v>132</v>
      </c>
      <c r="C39" s="29"/>
      <c r="D39" s="40" t="s">
        <v>15</v>
      </c>
      <c r="E39" s="31"/>
      <c r="F39" s="33"/>
      <c r="G39" s="33"/>
      <c r="H39" s="38">
        <f t="shared" ref="H39:AF39" si="27">IF(H37=1, Storage_inverter_capacity*H38, 0)</f>
        <v>240000</v>
      </c>
      <c r="I39" s="38">
        <f t="shared" si="27"/>
        <v>0</v>
      </c>
      <c r="J39" s="38">
        <f t="shared" si="27"/>
        <v>0</v>
      </c>
      <c r="K39" s="38">
        <f t="shared" si="27"/>
        <v>0</v>
      </c>
      <c r="L39" s="38">
        <f t="shared" si="27"/>
        <v>0</v>
      </c>
      <c r="M39" s="38">
        <f t="shared" si="27"/>
        <v>0</v>
      </c>
      <c r="N39" s="38">
        <f t="shared" si="27"/>
        <v>0</v>
      </c>
      <c r="O39" s="38">
        <f t="shared" si="27"/>
        <v>0</v>
      </c>
      <c r="P39" s="38">
        <f t="shared" si="27"/>
        <v>0</v>
      </c>
      <c r="Q39" s="38">
        <f t="shared" si="27"/>
        <v>0</v>
      </c>
      <c r="R39" s="38">
        <f t="shared" si="27"/>
        <v>0</v>
      </c>
      <c r="S39" s="38">
        <f t="shared" si="27"/>
        <v>0</v>
      </c>
      <c r="T39" s="38">
        <f t="shared" si="27"/>
        <v>0</v>
      </c>
      <c r="U39" s="38">
        <f t="shared" si="27"/>
        <v>144000</v>
      </c>
      <c r="V39" s="38">
        <f t="shared" si="27"/>
        <v>0</v>
      </c>
      <c r="W39" s="38">
        <f t="shared" si="27"/>
        <v>0</v>
      </c>
      <c r="X39" s="38">
        <f t="shared" si="27"/>
        <v>0</v>
      </c>
      <c r="Y39" s="38">
        <f t="shared" si="27"/>
        <v>0</v>
      </c>
      <c r="Z39" s="38">
        <f t="shared" si="27"/>
        <v>0</v>
      </c>
      <c r="AA39" s="38">
        <f t="shared" si="27"/>
        <v>0</v>
      </c>
      <c r="AB39" s="38">
        <f t="shared" si="27"/>
        <v>0</v>
      </c>
      <c r="AC39" s="38">
        <f t="shared" si="27"/>
        <v>0</v>
      </c>
      <c r="AD39" s="38">
        <f t="shared" si="27"/>
        <v>0</v>
      </c>
      <c r="AE39" s="38">
        <f t="shared" si="27"/>
        <v>0</v>
      </c>
      <c r="AF39" s="38">
        <f t="shared" si="27"/>
        <v>0</v>
      </c>
    </row>
    <row r="40" spans="2:32" ht="13">
      <c r="B40" s="15" t="s">
        <v>1</v>
      </c>
      <c r="C40" s="29"/>
      <c r="D40" s="40" t="s">
        <v>15</v>
      </c>
      <c r="E40" s="31"/>
      <c r="F40" s="33"/>
      <c r="G40" s="33"/>
      <c r="H40" s="38">
        <f t="shared" ref="H40:AF40" si="28">H39*Storage_equity_percentage</f>
        <v>72000</v>
      </c>
      <c r="I40" s="38">
        <f t="shared" si="28"/>
        <v>0</v>
      </c>
      <c r="J40" s="38">
        <f t="shared" si="28"/>
        <v>0</v>
      </c>
      <c r="K40" s="38">
        <f t="shared" si="28"/>
        <v>0</v>
      </c>
      <c r="L40" s="38">
        <f t="shared" si="28"/>
        <v>0</v>
      </c>
      <c r="M40" s="38">
        <f t="shared" si="28"/>
        <v>0</v>
      </c>
      <c r="N40" s="38">
        <f t="shared" si="28"/>
        <v>0</v>
      </c>
      <c r="O40" s="38">
        <f t="shared" si="28"/>
        <v>0</v>
      </c>
      <c r="P40" s="38">
        <f t="shared" si="28"/>
        <v>0</v>
      </c>
      <c r="Q40" s="38">
        <f t="shared" si="28"/>
        <v>0</v>
      </c>
      <c r="R40" s="38">
        <f t="shared" si="28"/>
        <v>0</v>
      </c>
      <c r="S40" s="38">
        <f t="shared" si="28"/>
        <v>0</v>
      </c>
      <c r="T40" s="38">
        <f t="shared" si="28"/>
        <v>0</v>
      </c>
      <c r="U40" s="38">
        <f t="shared" si="28"/>
        <v>43200</v>
      </c>
      <c r="V40" s="38">
        <f t="shared" si="28"/>
        <v>0</v>
      </c>
      <c r="W40" s="38">
        <f t="shared" si="28"/>
        <v>0</v>
      </c>
      <c r="X40" s="38">
        <f t="shared" si="28"/>
        <v>0</v>
      </c>
      <c r="Y40" s="38">
        <f t="shared" si="28"/>
        <v>0</v>
      </c>
      <c r="Z40" s="38">
        <f t="shared" si="28"/>
        <v>0</v>
      </c>
      <c r="AA40" s="38">
        <f t="shared" si="28"/>
        <v>0</v>
      </c>
      <c r="AB40" s="38">
        <f t="shared" si="28"/>
        <v>0</v>
      </c>
      <c r="AC40" s="38">
        <f t="shared" si="28"/>
        <v>0</v>
      </c>
      <c r="AD40" s="38">
        <f t="shared" si="28"/>
        <v>0</v>
      </c>
      <c r="AE40" s="38">
        <f t="shared" si="28"/>
        <v>0</v>
      </c>
      <c r="AF40" s="38">
        <f t="shared" si="28"/>
        <v>0</v>
      </c>
    </row>
    <row r="41" spans="2:32" ht="13">
      <c r="B41" s="15" t="s">
        <v>2</v>
      </c>
      <c r="C41" s="29"/>
      <c r="D41" s="40" t="s">
        <v>15</v>
      </c>
      <c r="E41" s="31"/>
      <c r="F41" s="33"/>
      <c r="G41" s="33"/>
      <c r="H41" s="38">
        <f t="shared" ref="H41:AF41" si="29">H39-H40</f>
        <v>168000</v>
      </c>
      <c r="I41" s="38">
        <f t="shared" si="29"/>
        <v>0</v>
      </c>
      <c r="J41" s="38">
        <f t="shared" si="29"/>
        <v>0</v>
      </c>
      <c r="K41" s="38">
        <f t="shared" si="29"/>
        <v>0</v>
      </c>
      <c r="L41" s="38">
        <f t="shared" si="29"/>
        <v>0</v>
      </c>
      <c r="M41" s="38">
        <f t="shared" si="29"/>
        <v>0</v>
      </c>
      <c r="N41" s="38">
        <f t="shared" si="29"/>
        <v>0</v>
      </c>
      <c r="O41" s="38">
        <f t="shared" si="29"/>
        <v>0</v>
      </c>
      <c r="P41" s="38">
        <f t="shared" si="29"/>
        <v>0</v>
      </c>
      <c r="Q41" s="38">
        <f t="shared" si="29"/>
        <v>0</v>
      </c>
      <c r="R41" s="38">
        <f t="shared" si="29"/>
        <v>0</v>
      </c>
      <c r="S41" s="38">
        <f t="shared" si="29"/>
        <v>0</v>
      </c>
      <c r="T41" s="38">
        <f t="shared" si="29"/>
        <v>0</v>
      </c>
      <c r="U41" s="38">
        <f t="shared" si="29"/>
        <v>100800</v>
      </c>
      <c r="V41" s="38">
        <f t="shared" si="29"/>
        <v>0</v>
      </c>
      <c r="W41" s="38">
        <f t="shared" si="29"/>
        <v>0</v>
      </c>
      <c r="X41" s="38">
        <f t="shared" si="29"/>
        <v>0</v>
      </c>
      <c r="Y41" s="38">
        <f t="shared" si="29"/>
        <v>0</v>
      </c>
      <c r="Z41" s="38">
        <f t="shared" si="29"/>
        <v>0</v>
      </c>
      <c r="AA41" s="38">
        <f t="shared" si="29"/>
        <v>0</v>
      </c>
      <c r="AB41" s="38">
        <f t="shared" si="29"/>
        <v>0</v>
      </c>
      <c r="AC41" s="38">
        <f t="shared" si="29"/>
        <v>0</v>
      </c>
      <c r="AD41" s="38">
        <f t="shared" si="29"/>
        <v>0</v>
      </c>
      <c r="AE41" s="38">
        <f t="shared" si="29"/>
        <v>0</v>
      </c>
      <c r="AF41" s="38">
        <f t="shared" si="29"/>
        <v>0</v>
      </c>
    </row>
    <row r="42" spans="2:32" ht="13">
      <c r="B42" s="15" t="s">
        <v>115</v>
      </c>
      <c r="C42" s="29"/>
      <c r="D42" s="40" t="s">
        <v>15</v>
      </c>
      <c r="E42" s="31"/>
      <c r="F42" s="33"/>
      <c r="G42" s="33"/>
      <c r="H42" s="38">
        <f t="shared" ref="H42:AF42" si="30">IF(H37=1, H39*Storage_depreciationrate_inverter*Storage_depreciation_on_capexpercentage, G42)</f>
        <v>15784.615384615385</v>
      </c>
      <c r="I42" s="38">
        <f t="shared" si="30"/>
        <v>15784.615384615385</v>
      </c>
      <c r="J42" s="38">
        <f t="shared" si="30"/>
        <v>15784.615384615385</v>
      </c>
      <c r="K42" s="38">
        <f t="shared" si="30"/>
        <v>15784.615384615385</v>
      </c>
      <c r="L42" s="38">
        <f t="shared" si="30"/>
        <v>15784.615384615385</v>
      </c>
      <c r="M42" s="38">
        <f t="shared" si="30"/>
        <v>15784.615384615385</v>
      </c>
      <c r="N42" s="38">
        <f t="shared" si="30"/>
        <v>15784.615384615385</v>
      </c>
      <c r="O42" s="38">
        <f t="shared" si="30"/>
        <v>15784.615384615385</v>
      </c>
      <c r="P42" s="38">
        <f t="shared" si="30"/>
        <v>15784.615384615385</v>
      </c>
      <c r="Q42" s="38">
        <f t="shared" si="30"/>
        <v>15784.615384615385</v>
      </c>
      <c r="R42" s="38">
        <f t="shared" si="30"/>
        <v>15784.615384615385</v>
      </c>
      <c r="S42" s="38">
        <f t="shared" si="30"/>
        <v>15784.615384615385</v>
      </c>
      <c r="T42" s="38">
        <f t="shared" si="30"/>
        <v>15784.615384615385</v>
      </c>
      <c r="U42" s="38">
        <f t="shared" si="30"/>
        <v>9470.7692307692305</v>
      </c>
      <c r="V42" s="38">
        <f t="shared" si="30"/>
        <v>9470.7692307692305</v>
      </c>
      <c r="W42" s="38">
        <f t="shared" si="30"/>
        <v>9470.7692307692305</v>
      </c>
      <c r="X42" s="38">
        <f t="shared" si="30"/>
        <v>9470.7692307692305</v>
      </c>
      <c r="Y42" s="38">
        <f t="shared" si="30"/>
        <v>9470.7692307692305</v>
      </c>
      <c r="Z42" s="38">
        <f t="shared" si="30"/>
        <v>9470.7692307692305</v>
      </c>
      <c r="AA42" s="38">
        <f t="shared" si="30"/>
        <v>9470.7692307692305</v>
      </c>
      <c r="AB42" s="38">
        <f t="shared" si="30"/>
        <v>9470.7692307692305</v>
      </c>
      <c r="AC42" s="38">
        <f t="shared" si="30"/>
        <v>9470.7692307692305</v>
      </c>
      <c r="AD42" s="38">
        <f t="shared" si="30"/>
        <v>9470.7692307692305</v>
      </c>
      <c r="AE42" s="38">
        <f t="shared" si="30"/>
        <v>9470.7692307692305</v>
      </c>
      <c r="AF42" s="38">
        <f t="shared" si="30"/>
        <v>9470.7692307692305</v>
      </c>
    </row>
    <row r="43" spans="2:32" ht="13">
      <c r="B43" s="15" t="s">
        <v>32</v>
      </c>
      <c r="C43" s="29"/>
      <c r="D43" s="40" t="s">
        <v>15</v>
      </c>
      <c r="E43" s="31"/>
      <c r="F43" s="33"/>
      <c r="G43" s="33"/>
      <c r="H43" s="43">
        <f t="shared" ref="H43:AF43" si="31">IF(H37=1, H39, G43-G42)</f>
        <v>240000</v>
      </c>
      <c r="I43" s="43">
        <f t="shared" si="31"/>
        <v>224215.38461538462</v>
      </c>
      <c r="J43" s="43">
        <f t="shared" si="31"/>
        <v>208430.76923076925</v>
      </c>
      <c r="K43" s="43">
        <f t="shared" si="31"/>
        <v>192646.15384615387</v>
      </c>
      <c r="L43" s="43">
        <f t="shared" si="31"/>
        <v>176861.5384615385</v>
      </c>
      <c r="M43" s="43">
        <f t="shared" si="31"/>
        <v>161076.92307692312</v>
      </c>
      <c r="N43" s="43">
        <f t="shared" si="31"/>
        <v>145292.30769230775</v>
      </c>
      <c r="O43" s="43">
        <f t="shared" si="31"/>
        <v>129507.69230769236</v>
      </c>
      <c r="P43" s="43">
        <f t="shared" si="31"/>
        <v>113723.07692307697</v>
      </c>
      <c r="Q43" s="43">
        <f t="shared" si="31"/>
        <v>97938.461538461575</v>
      </c>
      <c r="R43" s="43">
        <f t="shared" si="31"/>
        <v>82153.846153846185</v>
      </c>
      <c r="S43" s="43">
        <f t="shared" si="31"/>
        <v>66369.230769230795</v>
      </c>
      <c r="T43" s="43">
        <f t="shared" si="31"/>
        <v>50584.615384615412</v>
      </c>
      <c r="U43" s="43">
        <f t="shared" si="31"/>
        <v>144000</v>
      </c>
      <c r="V43" s="43">
        <f t="shared" si="31"/>
        <v>134529.23076923078</v>
      </c>
      <c r="W43" s="43">
        <f t="shared" si="31"/>
        <v>125058.46153846155</v>
      </c>
      <c r="X43" s="43">
        <f t="shared" si="31"/>
        <v>115587.69230769231</v>
      </c>
      <c r="Y43" s="43">
        <f t="shared" si="31"/>
        <v>106116.92307692308</v>
      </c>
      <c r="Z43" s="43">
        <f t="shared" si="31"/>
        <v>96646.153846153844</v>
      </c>
      <c r="AA43" s="43">
        <f t="shared" si="31"/>
        <v>87175.38461538461</v>
      </c>
      <c r="AB43" s="43">
        <f t="shared" si="31"/>
        <v>77704.615384615376</v>
      </c>
      <c r="AC43" s="43">
        <f t="shared" si="31"/>
        <v>68233.846153846142</v>
      </c>
      <c r="AD43" s="43">
        <f t="shared" si="31"/>
        <v>58763.076923076907</v>
      </c>
      <c r="AE43" s="43">
        <f t="shared" si="31"/>
        <v>49292.307692307673</v>
      </c>
      <c r="AF43" s="43">
        <f t="shared" si="31"/>
        <v>39821.538461538439</v>
      </c>
    </row>
    <row r="44" spans="2:32" ht="13">
      <c r="B44" s="15" t="s">
        <v>19</v>
      </c>
      <c r="C44" s="29"/>
      <c r="D44" s="40" t="s">
        <v>15</v>
      </c>
      <c r="E44" s="31"/>
      <c r="F44" s="33"/>
      <c r="G44" s="33"/>
      <c r="H44" s="38">
        <f t="shared" ref="H44:AF44" si="32">IF(H37=1,H39*Storage_OandMpower_year1, G44+(G44*Storage_OandM_escalation))</f>
        <v>2400</v>
      </c>
      <c r="I44" s="38">
        <f t="shared" si="32"/>
        <v>2537.2800000000002</v>
      </c>
      <c r="J44" s="38">
        <f t="shared" si="32"/>
        <v>2682.4124160000001</v>
      </c>
      <c r="K44" s="38">
        <f t="shared" si="32"/>
        <v>2835.8464061952</v>
      </c>
      <c r="L44" s="38">
        <f t="shared" si="32"/>
        <v>2998.0568206295652</v>
      </c>
      <c r="M44" s="38">
        <f t="shared" si="32"/>
        <v>3169.5456707695762</v>
      </c>
      <c r="N44" s="38">
        <f t="shared" si="32"/>
        <v>3350.8436831375961</v>
      </c>
      <c r="O44" s="38">
        <f t="shared" si="32"/>
        <v>3542.5119418130666</v>
      </c>
      <c r="P44" s="38">
        <f t="shared" si="32"/>
        <v>3745.143624884774</v>
      </c>
      <c r="Q44" s="38">
        <f t="shared" si="32"/>
        <v>3959.3658402281831</v>
      </c>
      <c r="R44" s="38">
        <f t="shared" si="32"/>
        <v>4185.8415662892348</v>
      </c>
      <c r="S44" s="38">
        <f t="shared" si="32"/>
        <v>4425.2717038809787</v>
      </c>
      <c r="T44" s="38">
        <f t="shared" si="32"/>
        <v>4678.3972453429706</v>
      </c>
      <c r="U44" s="38">
        <f t="shared" si="32"/>
        <v>1440</v>
      </c>
      <c r="V44" s="38">
        <f t="shared" si="32"/>
        <v>1522.3679999999999</v>
      </c>
      <c r="W44" s="38">
        <f t="shared" si="32"/>
        <v>1609.4474496</v>
      </c>
      <c r="X44" s="38">
        <f t="shared" si="32"/>
        <v>1701.5078437171201</v>
      </c>
      <c r="Y44" s="38">
        <f t="shared" si="32"/>
        <v>1798.8340923777394</v>
      </c>
      <c r="Z44" s="38">
        <f t="shared" si="32"/>
        <v>1901.7274024617461</v>
      </c>
      <c r="AA44" s="38">
        <f t="shared" si="32"/>
        <v>2010.5062098825581</v>
      </c>
      <c r="AB44" s="38">
        <f t="shared" si="32"/>
        <v>2125.5071650878403</v>
      </c>
      <c r="AC44" s="38">
        <f t="shared" si="32"/>
        <v>2247.0861749308647</v>
      </c>
      <c r="AD44" s="38">
        <f t="shared" si="32"/>
        <v>2375.6195041369101</v>
      </c>
      <c r="AE44" s="38">
        <f t="shared" si="32"/>
        <v>2511.5049397735415</v>
      </c>
      <c r="AF44" s="38">
        <f t="shared" si="32"/>
        <v>2655.1630223285883</v>
      </c>
    </row>
    <row r="45" spans="2:32" ht="13">
      <c r="B45" s="15" t="s">
        <v>31</v>
      </c>
      <c r="C45" s="15"/>
      <c r="D45" s="40" t="s">
        <v>15</v>
      </c>
      <c r="E45" s="41"/>
      <c r="F45" s="41"/>
      <c r="G45" s="42"/>
      <c r="H45" s="89">
        <f t="shared" ref="H45:AF45" si="33">Storage_insurance*H43</f>
        <v>840</v>
      </c>
      <c r="I45" s="89">
        <f t="shared" si="33"/>
        <v>784.75384615384621</v>
      </c>
      <c r="J45" s="89">
        <f t="shared" si="33"/>
        <v>729.50769230769242</v>
      </c>
      <c r="K45" s="89">
        <f t="shared" si="33"/>
        <v>674.26153846153852</v>
      </c>
      <c r="L45" s="89">
        <f t="shared" si="33"/>
        <v>619.01538461538473</v>
      </c>
      <c r="M45" s="89">
        <f t="shared" si="33"/>
        <v>563.76923076923094</v>
      </c>
      <c r="N45" s="89">
        <f t="shared" si="33"/>
        <v>508.5230769230771</v>
      </c>
      <c r="O45" s="89">
        <f t="shared" si="33"/>
        <v>453.27692307692325</v>
      </c>
      <c r="P45" s="89">
        <f t="shared" si="33"/>
        <v>398.03076923076941</v>
      </c>
      <c r="Q45" s="89">
        <f t="shared" si="33"/>
        <v>342.78461538461551</v>
      </c>
      <c r="R45" s="89">
        <f t="shared" si="33"/>
        <v>287.53846153846166</v>
      </c>
      <c r="S45" s="89">
        <f t="shared" si="33"/>
        <v>232.29230769230779</v>
      </c>
      <c r="T45" s="89">
        <f t="shared" si="33"/>
        <v>177.04615384615394</v>
      </c>
      <c r="U45" s="89">
        <f t="shared" si="33"/>
        <v>504</v>
      </c>
      <c r="V45" s="89">
        <f t="shared" si="33"/>
        <v>470.85230769230776</v>
      </c>
      <c r="W45" s="89">
        <f t="shared" si="33"/>
        <v>437.70461538461541</v>
      </c>
      <c r="X45" s="89">
        <f t="shared" si="33"/>
        <v>404.55692307692311</v>
      </c>
      <c r="Y45" s="89">
        <f t="shared" si="33"/>
        <v>371.40923076923076</v>
      </c>
      <c r="Z45" s="89">
        <f t="shared" si="33"/>
        <v>338.26153846153846</v>
      </c>
      <c r="AA45" s="89">
        <f t="shared" si="33"/>
        <v>305.11384615384617</v>
      </c>
      <c r="AB45" s="89">
        <f t="shared" si="33"/>
        <v>271.96615384615382</v>
      </c>
      <c r="AC45" s="89">
        <f t="shared" si="33"/>
        <v>238.81846153846149</v>
      </c>
      <c r="AD45" s="89">
        <f t="shared" si="33"/>
        <v>205.67076923076917</v>
      </c>
      <c r="AE45" s="89">
        <f t="shared" si="33"/>
        <v>172.52307692307687</v>
      </c>
      <c r="AF45" s="89">
        <f t="shared" si="33"/>
        <v>139.37538461538455</v>
      </c>
    </row>
    <row r="46" spans="2:32" ht="13">
      <c r="B46" s="41" t="s">
        <v>187</v>
      </c>
      <c r="C46" s="41"/>
      <c r="D46" s="40" t="s">
        <v>15</v>
      </c>
      <c r="E46" s="41"/>
      <c r="F46" s="41"/>
      <c r="G46" s="42"/>
      <c r="H46" s="43">
        <f>H54</f>
        <v>17724</v>
      </c>
      <c r="I46" s="43">
        <f t="shared" ref="I46:AF46" ca="1" si="34">I54</f>
        <v>17724</v>
      </c>
      <c r="J46" s="43">
        <f t="shared" ca="1" si="34"/>
        <v>15754.666666666668</v>
      </c>
      <c r="K46" s="43">
        <f t="shared" ca="1" si="34"/>
        <v>13785.333333333334</v>
      </c>
      <c r="L46" s="43">
        <f t="shared" ca="1" si="34"/>
        <v>11816</v>
      </c>
      <c r="M46" s="43">
        <f t="shared" ca="1" si="34"/>
        <v>9846.6666666666661</v>
      </c>
      <c r="N46" s="43">
        <f t="shared" ca="1" si="34"/>
        <v>7877.3333333333321</v>
      </c>
      <c r="O46" s="43">
        <f t="shared" ca="1" si="34"/>
        <v>5907.9999999999982</v>
      </c>
      <c r="P46" s="43">
        <f t="shared" ca="1" si="34"/>
        <v>3938.6666666666647</v>
      </c>
      <c r="Q46" s="43">
        <f t="shared" ca="1" si="34"/>
        <v>1969.333333333331</v>
      </c>
      <c r="R46" s="43">
        <f t="shared" ca="1" si="34"/>
        <v>0</v>
      </c>
      <c r="S46" s="43">
        <f t="shared" ca="1" si="34"/>
        <v>0</v>
      </c>
      <c r="T46" s="43">
        <f t="shared" ca="1" si="34"/>
        <v>0</v>
      </c>
      <c r="U46" s="43">
        <f t="shared" si="34"/>
        <v>10634.4</v>
      </c>
      <c r="V46" s="43">
        <f t="shared" ca="1" si="34"/>
        <v>10634.4</v>
      </c>
      <c r="W46" s="43">
        <f t="shared" ca="1" si="34"/>
        <v>9452.7999999999993</v>
      </c>
      <c r="X46" s="43">
        <f t="shared" ca="1" si="34"/>
        <v>8271.1999999999989</v>
      </c>
      <c r="Y46" s="43">
        <f t="shared" ca="1" si="34"/>
        <v>7089.5999999999995</v>
      </c>
      <c r="Z46" s="43">
        <f t="shared" ca="1" si="34"/>
        <v>5908</v>
      </c>
      <c r="AA46" s="43">
        <f t="shared" ca="1" si="34"/>
        <v>4726.3999999999996</v>
      </c>
      <c r="AB46" s="43">
        <f t="shared" ca="1" si="34"/>
        <v>3544.7999999999997</v>
      </c>
      <c r="AC46" s="43">
        <f t="shared" ca="1" si="34"/>
        <v>2363.1999999999998</v>
      </c>
      <c r="AD46" s="43">
        <f t="shared" ca="1" si="34"/>
        <v>1181.5999999999999</v>
      </c>
      <c r="AE46" s="43">
        <f t="shared" ca="1" si="34"/>
        <v>0</v>
      </c>
      <c r="AF46" s="43">
        <f t="shared" ca="1" si="34"/>
        <v>0</v>
      </c>
    </row>
    <row r="47" spans="2:32" ht="13">
      <c r="B47" s="41" t="s">
        <v>188</v>
      </c>
      <c r="C47" s="41"/>
      <c r="D47" s="40" t="s">
        <v>15</v>
      </c>
      <c r="E47" s="41"/>
      <c r="F47" s="44"/>
      <c r="G47" s="45"/>
      <c r="H47" s="90">
        <f ca="1">H59+H61</f>
        <v>974.89152115384627</v>
      </c>
      <c r="I47" s="90">
        <f t="shared" ref="I47:AF47" ca="1" si="35">I59+I61</f>
        <v>977.81742810230776</v>
      </c>
      <c r="J47" s="90">
        <f t="shared" ca="1" si="35"/>
        <v>943.06186180155464</v>
      </c>
      <c r="K47" s="90">
        <f t="shared" ca="1" si="35"/>
        <v>908.54754158173171</v>
      </c>
      <c r="L47" s="90">
        <f t="shared" ca="1" si="35"/>
        <v>874.28826671866818</v>
      </c>
      <c r="M47" s="90">
        <f t="shared" ca="1" si="35"/>
        <v>840.29862580677093</v>
      </c>
      <c r="N47" s="90">
        <f t="shared" ca="1" si="35"/>
        <v>806.59404190804651</v>
      </c>
      <c r="O47" s="90">
        <f t="shared" ca="1" si="35"/>
        <v>773.19082028364824</v>
      </c>
      <c r="P47" s="90">
        <f t="shared" ca="1" si="35"/>
        <v>740.1061988556678</v>
      </c>
      <c r="Q47" s="90">
        <f t="shared" ca="1" si="35"/>
        <v>707.35840155534004</v>
      </c>
      <c r="R47" s="90">
        <f t="shared" ca="1" si="35"/>
        <v>674.96669472276733</v>
      </c>
      <c r="S47" s="90">
        <f t="shared" ca="1" si="35"/>
        <v>680.86111339937111</v>
      </c>
      <c r="T47" s="90">
        <f t="shared" ca="1" si="35"/>
        <v>687.15352436427668</v>
      </c>
      <c r="U47" s="90">
        <f t="shared" ca="1" si="35"/>
        <v>584.93491269230765</v>
      </c>
      <c r="V47" s="90">
        <f t="shared" ca="1" si="35"/>
        <v>586.69045686138463</v>
      </c>
      <c r="W47" s="90">
        <f t="shared" ca="1" si="35"/>
        <v>565.83711708093267</v>
      </c>
      <c r="X47" s="90">
        <f t="shared" ca="1" si="35"/>
        <v>545.12852494903905</v>
      </c>
      <c r="Y47" s="90">
        <f t="shared" ca="1" si="35"/>
        <v>524.57296003120098</v>
      </c>
      <c r="Z47" s="90">
        <f t="shared" ca="1" si="35"/>
        <v>504.17917548406263</v>
      </c>
      <c r="AA47" s="90">
        <f t="shared" ca="1" si="35"/>
        <v>483.95642514482796</v>
      </c>
      <c r="AB47" s="90">
        <f t="shared" ca="1" si="35"/>
        <v>463.91449217018902</v>
      </c>
      <c r="AC47" s="90">
        <f t="shared" ca="1" si="35"/>
        <v>444.06371931340067</v>
      </c>
      <c r="AD47" s="90">
        <f t="shared" ca="1" si="35"/>
        <v>424.41504093320412</v>
      </c>
      <c r="AE47" s="90">
        <f t="shared" ca="1" si="35"/>
        <v>404.98001683366033</v>
      </c>
      <c r="AF47" s="90">
        <f t="shared" ca="1" si="35"/>
        <v>408.51666803962263</v>
      </c>
    </row>
    <row r="48" spans="2:32" ht="13">
      <c r="B48" s="15" t="s">
        <v>186</v>
      </c>
      <c r="C48" s="15"/>
      <c r="D48" s="40" t="s">
        <v>15</v>
      </c>
      <c r="E48" s="41"/>
      <c r="F48" s="46"/>
      <c r="G48" s="47"/>
      <c r="H48" s="90">
        <f t="shared" ref="H48:AF48" ca="1" si="36">OFFSET(H40,0,1-H37)*Storage_ROE</f>
        <v>12672</v>
      </c>
      <c r="I48" s="90">
        <f t="shared" ca="1" si="36"/>
        <v>12672</v>
      </c>
      <c r="J48" s="90">
        <f t="shared" ca="1" si="36"/>
        <v>12672</v>
      </c>
      <c r="K48" s="90">
        <f t="shared" ca="1" si="36"/>
        <v>12672</v>
      </c>
      <c r="L48" s="90">
        <f t="shared" ca="1" si="36"/>
        <v>12672</v>
      </c>
      <c r="M48" s="90">
        <f t="shared" ca="1" si="36"/>
        <v>12672</v>
      </c>
      <c r="N48" s="90">
        <f t="shared" ca="1" si="36"/>
        <v>12672</v>
      </c>
      <c r="O48" s="90">
        <f t="shared" ca="1" si="36"/>
        <v>12672</v>
      </c>
      <c r="P48" s="90">
        <f t="shared" ca="1" si="36"/>
        <v>12672</v>
      </c>
      <c r="Q48" s="90">
        <f t="shared" ca="1" si="36"/>
        <v>12672</v>
      </c>
      <c r="R48" s="90">
        <f t="shared" ca="1" si="36"/>
        <v>12672</v>
      </c>
      <c r="S48" s="90">
        <f t="shared" ca="1" si="36"/>
        <v>12672</v>
      </c>
      <c r="T48" s="90">
        <f t="shared" ca="1" si="36"/>
        <v>12672</v>
      </c>
      <c r="U48" s="90">
        <f t="shared" ca="1" si="36"/>
        <v>7603.2</v>
      </c>
      <c r="V48" s="90">
        <f t="shared" ca="1" si="36"/>
        <v>7603.2</v>
      </c>
      <c r="W48" s="90">
        <f t="shared" ca="1" si="36"/>
        <v>7603.2</v>
      </c>
      <c r="X48" s="90">
        <f t="shared" ca="1" si="36"/>
        <v>7603.2</v>
      </c>
      <c r="Y48" s="90">
        <f t="shared" ca="1" si="36"/>
        <v>7603.2</v>
      </c>
      <c r="Z48" s="90">
        <f t="shared" ca="1" si="36"/>
        <v>7603.2</v>
      </c>
      <c r="AA48" s="90">
        <f t="shared" ca="1" si="36"/>
        <v>7603.2</v>
      </c>
      <c r="AB48" s="90">
        <f t="shared" ca="1" si="36"/>
        <v>7603.2</v>
      </c>
      <c r="AC48" s="90">
        <f t="shared" ca="1" si="36"/>
        <v>7603.2</v>
      </c>
      <c r="AD48" s="90">
        <f t="shared" ca="1" si="36"/>
        <v>7603.2</v>
      </c>
      <c r="AE48" s="90">
        <f t="shared" ca="1" si="36"/>
        <v>7603.2</v>
      </c>
      <c r="AF48" s="90">
        <f t="shared" ca="1" si="36"/>
        <v>7603.2</v>
      </c>
    </row>
    <row r="49" spans="2:32" ht="13">
      <c r="B49" s="39"/>
      <c r="C49" s="15"/>
      <c r="D49" s="40"/>
      <c r="E49" s="41"/>
      <c r="F49" s="41"/>
      <c r="G49" s="42"/>
      <c r="H49" s="43"/>
      <c r="I49" s="89"/>
      <c r="J49" s="89"/>
      <c r="K49" s="89"/>
      <c r="L49" s="89"/>
      <c r="M49" s="89"/>
      <c r="N49" s="89"/>
      <c r="O49" s="89"/>
      <c r="P49" s="89"/>
      <c r="Q49" s="89"/>
      <c r="R49" s="89"/>
      <c r="S49" s="89"/>
      <c r="T49" s="89"/>
      <c r="U49" s="89"/>
      <c r="V49" s="89"/>
      <c r="W49" s="89"/>
      <c r="X49" s="89"/>
      <c r="Y49" s="89"/>
      <c r="Z49" s="89"/>
      <c r="AA49" s="89"/>
      <c r="AB49" s="89"/>
      <c r="AC49" s="89"/>
      <c r="AD49" s="89"/>
      <c r="AE49" s="89"/>
      <c r="AF49" s="89"/>
    </row>
    <row r="50" spans="2:32" ht="13">
      <c r="B50" s="207" t="s">
        <v>2</v>
      </c>
      <c r="C50" s="92"/>
      <c r="D50" s="31"/>
      <c r="E50" s="93"/>
      <c r="F50" s="15"/>
      <c r="G50" s="37"/>
      <c r="H50" s="94"/>
      <c r="I50" s="94"/>
      <c r="J50" s="94"/>
      <c r="K50" s="94"/>
      <c r="L50" s="94"/>
      <c r="M50" s="94"/>
      <c r="N50" s="94"/>
      <c r="O50" s="94"/>
      <c r="P50" s="94"/>
      <c r="Q50" s="94"/>
      <c r="R50" s="94"/>
      <c r="S50" s="94"/>
      <c r="T50" s="94"/>
      <c r="U50" s="94"/>
      <c r="V50" s="94"/>
      <c r="W50" s="94"/>
      <c r="X50" s="94"/>
      <c r="Y50" s="94"/>
      <c r="Z50" s="94"/>
      <c r="AA50" s="94"/>
      <c r="AB50" s="94"/>
      <c r="AC50" s="94"/>
      <c r="AD50" s="94"/>
      <c r="AE50" s="94"/>
      <c r="AF50" s="94"/>
    </row>
    <row r="51" spans="2:32" ht="13">
      <c r="B51" s="15" t="s">
        <v>4</v>
      </c>
      <c r="C51" s="15"/>
      <c r="D51" s="17" t="s">
        <v>15</v>
      </c>
      <c r="E51" s="15"/>
      <c r="F51" s="15"/>
      <c r="G51" s="37"/>
      <c r="H51" s="38">
        <f t="shared" ref="H51:AF51" si="37">IF(H37=1, H41, G53)</f>
        <v>168000</v>
      </c>
      <c r="I51" s="38">
        <f t="shared" ca="1" si="37"/>
        <v>168000</v>
      </c>
      <c r="J51" s="38">
        <f t="shared" ca="1" si="37"/>
        <v>149333.33333333334</v>
      </c>
      <c r="K51" s="38">
        <f t="shared" ca="1" si="37"/>
        <v>130666.66666666667</v>
      </c>
      <c r="L51" s="38">
        <f t="shared" ca="1" si="37"/>
        <v>112000</v>
      </c>
      <c r="M51" s="38">
        <f t="shared" ca="1" si="37"/>
        <v>93333.333333333328</v>
      </c>
      <c r="N51" s="38">
        <f t="shared" ca="1" si="37"/>
        <v>74666.666666666657</v>
      </c>
      <c r="O51" s="38">
        <f t="shared" ca="1" si="37"/>
        <v>55999.999999999985</v>
      </c>
      <c r="P51" s="38">
        <f t="shared" ca="1" si="37"/>
        <v>37333.333333333314</v>
      </c>
      <c r="Q51" s="38">
        <f t="shared" ca="1" si="37"/>
        <v>18666.666666666646</v>
      </c>
      <c r="R51" s="38">
        <f t="shared" ca="1" si="37"/>
        <v>0</v>
      </c>
      <c r="S51" s="38">
        <f t="shared" ca="1" si="37"/>
        <v>0</v>
      </c>
      <c r="T51" s="38">
        <f t="shared" ca="1" si="37"/>
        <v>0</v>
      </c>
      <c r="U51" s="38">
        <f t="shared" si="37"/>
        <v>100800</v>
      </c>
      <c r="V51" s="38">
        <f t="shared" ca="1" si="37"/>
        <v>100800</v>
      </c>
      <c r="W51" s="38">
        <f t="shared" ca="1" si="37"/>
        <v>89600</v>
      </c>
      <c r="X51" s="38">
        <f t="shared" ca="1" si="37"/>
        <v>78400</v>
      </c>
      <c r="Y51" s="38">
        <f t="shared" ca="1" si="37"/>
        <v>67200</v>
      </c>
      <c r="Z51" s="38">
        <f t="shared" ca="1" si="37"/>
        <v>56000</v>
      </c>
      <c r="AA51" s="38">
        <f t="shared" ca="1" si="37"/>
        <v>44800</v>
      </c>
      <c r="AB51" s="38">
        <f t="shared" ca="1" si="37"/>
        <v>33600</v>
      </c>
      <c r="AC51" s="38">
        <f t="shared" ca="1" si="37"/>
        <v>22400</v>
      </c>
      <c r="AD51" s="38">
        <f t="shared" ca="1" si="37"/>
        <v>11200</v>
      </c>
      <c r="AE51" s="38">
        <f t="shared" ca="1" si="37"/>
        <v>0</v>
      </c>
      <c r="AF51" s="38">
        <f t="shared" ca="1" si="37"/>
        <v>0</v>
      </c>
    </row>
    <row r="52" spans="2:32" ht="13">
      <c r="B52" s="15" t="s">
        <v>5</v>
      </c>
      <c r="C52" s="15"/>
      <c r="D52" s="17" t="s">
        <v>15</v>
      </c>
      <c r="E52" s="15"/>
      <c r="F52" s="15"/>
      <c r="G52" s="37"/>
      <c r="H52" s="38">
        <f t="shared" ref="H52:AF52" ca="1" si="38">IF(H37&gt;Storage_moratorium, IF(H51&gt;0, OFFSET(H41,0,1-H37)/(Storage_loan_tenure-Moratorium), 0), 0)</f>
        <v>0</v>
      </c>
      <c r="I52" s="38">
        <f t="shared" ca="1" si="38"/>
        <v>18666.666666666668</v>
      </c>
      <c r="J52" s="38">
        <f t="shared" ca="1" si="38"/>
        <v>18666.666666666668</v>
      </c>
      <c r="K52" s="38">
        <f t="shared" ca="1" si="38"/>
        <v>18666.666666666668</v>
      </c>
      <c r="L52" s="38">
        <f t="shared" ca="1" si="38"/>
        <v>18666.666666666668</v>
      </c>
      <c r="M52" s="38">
        <f t="shared" ca="1" si="38"/>
        <v>18666.666666666668</v>
      </c>
      <c r="N52" s="38">
        <f t="shared" ca="1" si="38"/>
        <v>18666.666666666668</v>
      </c>
      <c r="O52" s="38">
        <f t="shared" ca="1" si="38"/>
        <v>18666.666666666668</v>
      </c>
      <c r="P52" s="38">
        <f t="shared" ca="1" si="38"/>
        <v>18666.666666666668</v>
      </c>
      <c r="Q52" s="38">
        <f t="shared" ca="1" si="38"/>
        <v>18666.666666666668</v>
      </c>
      <c r="R52" s="38">
        <f t="shared" ca="1" si="38"/>
        <v>0</v>
      </c>
      <c r="S52" s="38">
        <f t="shared" ca="1" si="38"/>
        <v>0</v>
      </c>
      <c r="T52" s="38">
        <f t="shared" ca="1" si="38"/>
        <v>0</v>
      </c>
      <c r="U52" s="38">
        <f t="shared" ca="1" si="38"/>
        <v>0</v>
      </c>
      <c r="V52" s="38">
        <f t="shared" ca="1" si="38"/>
        <v>11200</v>
      </c>
      <c r="W52" s="38">
        <f t="shared" ca="1" si="38"/>
        <v>11200</v>
      </c>
      <c r="X52" s="38">
        <f t="shared" ca="1" si="38"/>
        <v>11200</v>
      </c>
      <c r="Y52" s="38">
        <f t="shared" ca="1" si="38"/>
        <v>11200</v>
      </c>
      <c r="Z52" s="38">
        <f t="shared" ca="1" si="38"/>
        <v>11200</v>
      </c>
      <c r="AA52" s="38">
        <f t="shared" ca="1" si="38"/>
        <v>11200</v>
      </c>
      <c r="AB52" s="38">
        <f t="shared" ca="1" si="38"/>
        <v>11200</v>
      </c>
      <c r="AC52" s="38">
        <f t="shared" ca="1" si="38"/>
        <v>11200</v>
      </c>
      <c r="AD52" s="38">
        <f t="shared" ca="1" si="38"/>
        <v>11200</v>
      </c>
      <c r="AE52" s="38">
        <f t="shared" ca="1" si="38"/>
        <v>0</v>
      </c>
      <c r="AF52" s="38">
        <f t="shared" ca="1" si="38"/>
        <v>0</v>
      </c>
    </row>
    <row r="53" spans="2:32" ht="13">
      <c r="B53" s="15" t="s">
        <v>6</v>
      </c>
      <c r="C53" s="15"/>
      <c r="D53" s="17" t="s">
        <v>15</v>
      </c>
      <c r="E53" s="15"/>
      <c r="F53" s="15"/>
      <c r="G53" s="37"/>
      <c r="H53" s="38">
        <f ca="1">H51-H52</f>
        <v>168000</v>
      </c>
      <c r="I53" s="38">
        <f ca="1">I51-I52</f>
        <v>149333.33333333334</v>
      </c>
      <c r="J53" s="38">
        <f ca="1">J51-J52</f>
        <v>130666.66666666667</v>
      </c>
      <c r="K53" s="38">
        <f t="shared" ref="K53:AF53" ca="1" si="39">K51-K52</f>
        <v>112000</v>
      </c>
      <c r="L53" s="38">
        <f t="shared" ca="1" si="39"/>
        <v>93333.333333333328</v>
      </c>
      <c r="M53" s="38">
        <f t="shared" ca="1" si="39"/>
        <v>74666.666666666657</v>
      </c>
      <c r="N53" s="38">
        <f t="shared" ca="1" si="39"/>
        <v>55999.999999999985</v>
      </c>
      <c r="O53" s="38">
        <f t="shared" ca="1" si="39"/>
        <v>37333.333333333314</v>
      </c>
      <c r="P53" s="38">
        <f t="shared" ca="1" si="39"/>
        <v>18666.666666666646</v>
      </c>
      <c r="Q53" s="38">
        <f t="shared" ca="1" si="39"/>
        <v>0</v>
      </c>
      <c r="R53" s="38">
        <f t="shared" ca="1" si="39"/>
        <v>0</v>
      </c>
      <c r="S53" s="38">
        <f t="shared" ca="1" si="39"/>
        <v>0</v>
      </c>
      <c r="T53" s="38">
        <f t="shared" ca="1" si="39"/>
        <v>0</v>
      </c>
      <c r="U53" s="38">
        <f t="shared" ca="1" si="39"/>
        <v>100800</v>
      </c>
      <c r="V53" s="38">
        <f t="shared" ca="1" si="39"/>
        <v>89600</v>
      </c>
      <c r="W53" s="38">
        <f t="shared" ca="1" si="39"/>
        <v>78400</v>
      </c>
      <c r="X53" s="38">
        <f t="shared" ca="1" si="39"/>
        <v>67200</v>
      </c>
      <c r="Y53" s="38">
        <f t="shared" ca="1" si="39"/>
        <v>56000</v>
      </c>
      <c r="Z53" s="38">
        <f t="shared" ca="1" si="39"/>
        <v>44800</v>
      </c>
      <c r="AA53" s="38">
        <f t="shared" ca="1" si="39"/>
        <v>33600</v>
      </c>
      <c r="AB53" s="38">
        <f t="shared" ca="1" si="39"/>
        <v>22400</v>
      </c>
      <c r="AC53" s="38">
        <f t="shared" ca="1" si="39"/>
        <v>11200</v>
      </c>
      <c r="AD53" s="38">
        <f t="shared" ca="1" si="39"/>
        <v>0</v>
      </c>
      <c r="AE53" s="38">
        <f t="shared" ca="1" si="39"/>
        <v>0</v>
      </c>
      <c r="AF53" s="38">
        <f t="shared" ca="1" si="39"/>
        <v>0</v>
      </c>
    </row>
    <row r="54" spans="2:32" ht="13">
      <c r="B54" s="62" t="s">
        <v>3</v>
      </c>
      <c r="C54" s="62"/>
      <c r="D54" s="17" t="s">
        <v>15</v>
      </c>
      <c r="E54" s="15"/>
      <c r="F54" s="46"/>
      <c r="G54" s="47"/>
      <c r="H54" s="90">
        <f t="shared" ref="H54:AF54" si="40">Storage_interest*H51</f>
        <v>17724</v>
      </c>
      <c r="I54" s="90">
        <f t="shared" ca="1" si="40"/>
        <v>17724</v>
      </c>
      <c r="J54" s="90">
        <f t="shared" ca="1" si="40"/>
        <v>15754.666666666668</v>
      </c>
      <c r="K54" s="90">
        <f t="shared" ca="1" si="40"/>
        <v>13785.333333333334</v>
      </c>
      <c r="L54" s="90">
        <f t="shared" ca="1" si="40"/>
        <v>11816</v>
      </c>
      <c r="M54" s="90">
        <f t="shared" ca="1" si="40"/>
        <v>9846.6666666666661</v>
      </c>
      <c r="N54" s="90">
        <f t="shared" ca="1" si="40"/>
        <v>7877.3333333333321</v>
      </c>
      <c r="O54" s="90">
        <f t="shared" ca="1" si="40"/>
        <v>5907.9999999999982</v>
      </c>
      <c r="P54" s="90">
        <f t="shared" ca="1" si="40"/>
        <v>3938.6666666666647</v>
      </c>
      <c r="Q54" s="90">
        <f t="shared" ca="1" si="40"/>
        <v>1969.333333333331</v>
      </c>
      <c r="R54" s="90">
        <f t="shared" ca="1" si="40"/>
        <v>0</v>
      </c>
      <c r="S54" s="90">
        <f t="shared" ca="1" si="40"/>
        <v>0</v>
      </c>
      <c r="T54" s="90">
        <f t="shared" ca="1" si="40"/>
        <v>0</v>
      </c>
      <c r="U54" s="90">
        <f t="shared" si="40"/>
        <v>10634.4</v>
      </c>
      <c r="V54" s="90">
        <f t="shared" ca="1" si="40"/>
        <v>10634.4</v>
      </c>
      <c r="W54" s="90">
        <f t="shared" ca="1" si="40"/>
        <v>9452.7999999999993</v>
      </c>
      <c r="X54" s="90">
        <f t="shared" ca="1" si="40"/>
        <v>8271.1999999999989</v>
      </c>
      <c r="Y54" s="90">
        <f t="shared" ca="1" si="40"/>
        <v>7089.5999999999995</v>
      </c>
      <c r="Z54" s="90">
        <f t="shared" ca="1" si="40"/>
        <v>5908</v>
      </c>
      <c r="AA54" s="90">
        <f t="shared" ca="1" si="40"/>
        <v>4726.3999999999996</v>
      </c>
      <c r="AB54" s="90">
        <f t="shared" ca="1" si="40"/>
        <v>3544.7999999999997</v>
      </c>
      <c r="AC54" s="90">
        <f t="shared" ca="1" si="40"/>
        <v>2363.1999999999998</v>
      </c>
      <c r="AD54" s="90">
        <f t="shared" ca="1" si="40"/>
        <v>1181.5999999999999</v>
      </c>
      <c r="AE54" s="90">
        <f t="shared" ca="1" si="40"/>
        <v>0</v>
      </c>
      <c r="AF54" s="90">
        <f t="shared" ca="1" si="40"/>
        <v>0</v>
      </c>
    </row>
    <row r="55" spans="2:32" ht="13">
      <c r="B55" s="231" t="s">
        <v>16</v>
      </c>
      <c r="C55" s="95"/>
      <c r="D55" s="65" t="s">
        <v>15</v>
      </c>
      <c r="E55" s="15"/>
      <c r="F55" s="47"/>
      <c r="G55" s="47"/>
      <c r="H55" s="38">
        <f ca="1">H52+H54</f>
        <v>17724</v>
      </c>
      <c r="I55" s="38">
        <f t="shared" ref="I55:AF55" ca="1" si="41">I52+I54</f>
        <v>36390.666666666672</v>
      </c>
      <c r="J55" s="38">
        <f t="shared" ca="1" si="41"/>
        <v>34421.333333333336</v>
      </c>
      <c r="K55" s="38">
        <f t="shared" ca="1" si="41"/>
        <v>32452</v>
      </c>
      <c r="L55" s="38">
        <f t="shared" ca="1" si="41"/>
        <v>30482.666666666668</v>
      </c>
      <c r="M55" s="38">
        <f t="shared" ca="1" si="41"/>
        <v>28513.333333333336</v>
      </c>
      <c r="N55" s="38">
        <f t="shared" ca="1" si="41"/>
        <v>26544</v>
      </c>
      <c r="O55" s="38">
        <f t="shared" ca="1" si="41"/>
        <v>24574.666666666664</v>
      </c>
      <c r="P55" s="38">
        <f t="shared" ca="1" si="41"/>
        <v>22605.333333333332</v>
      </c>
      <c r="Q55" s="38">
        <f t="shared" ca="1" si="41"/>
        <v>20636</v>
      </c>
      <c r="R55" s="38">
        <f t="shared" ca="1" si="41"/>
        <v>0</v>
      </c>
      <c r="S55" s="38">
        <f t="shared" ca="1" si="41"/>
        <v>0</v>
      </c>
      <c r="T55" s="38">
        <f t="shared" ca="1" si="41"/>
        <v>0</v>
      </c>
      <c r="U55" s="38">
        <f t="shared" ca="1" si="41"/>
        <v>10634.4</v>
      </c>
      <c r="V55" s="38">
        <f t="shared" ca="1" si="41"/>
        <v>21834.400000000001</v>
      </c>
      <c r="W55" s="38">
        <f t="shared" ca="1" si="41"/>
        <v>20652.8</v>
      </c>
      <c r="X55" s="38">
        <f t="shared" ca="1" si="41"/>
        <v>19471.199999999997</v>
      </c>
      <c r="Y55" s="38">
        <f t="shared" ca="1" si="41"/>
        <v>18289.599999999999</v>
      </c>
      <c r="Z55" s="38">
        <f t="shared" ca="1" si="41"/>
        <v>17108</v>
      </c>
      <c r="AA55" s="38">
        <f t="shared" ca="1" si="41"/>
        <v>15926.4</v>
      </c>
      <c r="AB55" s="38">
        <f t="shared" ca="1" si="41"/>
        <v>14744.8</v>
      </c>
      <c r="AC55" s="38">
        <f t="shared" ca="1" si="41"/>
        <v>13563.2</v>
      </c>
      <c r="AD55" s="38">
        <f t="shared" ca="1" si="41"/>
        <v>12381.6</v>
      </c>
      <c r="AE55" s="38">
        <f t="shared" ca="1" si="41"/>
        <v>0</v>
      </c>
      <c r="AF55" s="38">
        <f t="shared" ca="1" si="41"/>
        <v>0</v>
      </c>
    </row>
    <row r="56" spans="2:32" ht="13">
      <c r="B56" s="15"/>
      <c r="C56" s="15"/>
      <c r="D56" s="65"/>
      <c r="E56" s="15"/>
      <c r="F56" s="96"/>
      <c r="G56" s="96"/>
      <c r="H56" s="97"/>
      <c r="I56" s="97"/>
      <c r="J56" s="97"/>
      <c r="K56" s="97"/>
      <c r="L56" s="97"/>
      <c r="M56" s="97"/>
      <c r="N56" s="97"/>
      <c r="O56" s="97"/>
      <c r="P56" s="97"/>
      <c r="Q56" s="97"/>
      <c r="R56" s="97"/>
      <c r="S56" s="97"/>
      <c r="T56" s="97"/>
      <c r="U56" s="97"/>
      <c r="V56" s="97"/>
      <c r="W56" s="97"/>
      <c r="X56" s="97"/>
      <c r="Y56" s="97"/>
      <c r="Z56" s="97"/>
      <c r="AA56" s="97"/>
      <c r="AB56" s="97"/>
      <c r="AC56" s="97"/>
      <c r="AD56" s="97"/>
      <c r="AE56" s="97"/>
      <c r="AF56" s="97"/>
    </row>
    <row r="57" spans="2:32" ht="13">
      <c r="B57" s="207" t="s">
        <v>12</v>
      </c>
      <c r="C57" s="92"/>
      <c r="D57" s="31"/>
      <c r="E57" s="15"/>
      <c r="F57" s="98"/>
      <c r="G57" s="96"/>
      <c r="H57" s="38"/>
      <c r="I57" s="38"/>
      <c r="J57" s="38"/>
      <c r="K57" s="38"/>
      <c r="L57" s="38"/>
      <c r="M57" s="38"/>
      <c r="N57" s="38"/>
      <c r="O57" s="38"/>
      <c r="P57" s="38"/>
      <c r="Q57" s="38"/>
      <c r="R57" s="38"/>
      <c r="S57" s="38"/>
      <c r="T57" s="38"/>
      <c r="U57" s="38"/>
      <c r="V57" s="38"/>
      <c r="W57" s="38"/>
      <c r="X57" s="38"/>
      <c r="Y57" s="38"/>
      <c r="Z57" s="38"/>
      <c r="AA57" s="38"/>
      <c r="AB57" s="38"/>
      <c r="AC57" s="38"/>
      <c r="AD57" s="38"/>
      <c r="AE57" s="38"/>
      <c r="AF57" s="38"/>
    </row>
    <row r="58" spans="2:32" ht="13">
      <c r="B58" s="41" t="s">
        <v>173</v>
      </c>
      <c r="C58" s="15"/>
      <c r="D58" s="17" t="s">
        <v>15</v>
      </c>
      <c r="E58" s="15"/>
      <c r="F58" s="98"/>
      <c r="G58" s="96"/>
      <c r="H58" s="38">
        <f t="shared" ref="H58:AF58" si="42">H44/(12/Storage_workingcapital_OandM)</f>
        <v>200</v>
      </c>
      <c r="I58" s="38">
        <f t="shared" si="42"/>
        <v>211.44000000000003</v>
      </c>
      <c r="J58" s="38">
        <f t="shared" si="42"/>
        <v>223.534368</v>
      </c>
      <c r="K58" s="38">
        <f t="shared" si="42"/>
        <v>236.3205338496</v>
      </c>
      <c r="L58" s="38">
        <f t="shared" si="42"/>
        <v>249.8380683857971</v>
      </c>
      <c r="M58" s="38">
        <f t="shared" si="42"/>
        <v>264.1288058974647</v>
      </c>
      <c r="N58" s="38">
        <f t="shared" si="42"/>
        <v>279.23697359479968</v>
      </c>
      <c r="O58" s="38">
        <f t="shared" si="42"/>
        <v>295.2093284844222</v>
      </c>
      <c r="P58" s="38">
        <f t="shared" si="42"/>
        <v>312.09530207373115</v>
      </c>
      <c r="Q58" s="38">
        <f t="shared" si="42"/>
        <v>329.94715335234861</v>
      </c>
      <c r="R58" s="38">
        <f t="shared" si="42"/>
        <v>348.82013052410292</v>
      </c>
      <c r="S58" s="38">
        <f t="shared" si="42"/>
        <v>368.77264199008158</v>
      </c>
      <c r="T58" s="38">
        <f t="shared" si="42"/>
        <v>389.86643711191419</v>
      </c>
      <c r="U58" s="38">
        <f t="shared" si="42"/>
        <v>120</v>
      </c>
      <c r="V58" s="38">
        <f t="shared" si="42"/>
        <v>126.86399999999999</v>
      </c>
      <c r="W58" s="38">
        <f t="shared" si="42"/>
        <v>134.12062080000001</v>
      </c>
      <c r="X58" s="38">
        <f t="shared" si="42"/>
        <v>141.79232030976002</v>
      </c>
      <c r="Y58" s="38">
        <f t="shared" si="42"/>
        <v>149.90284103147829</v>
      </c>
      <c r="Z58" s="38">
        <f t="shared" si="42"/>
        <v>158.47728353847884</v>
      </c>
      <c r="AA58" s="38">
        <f t="shared" si="42"/>
        <v>167.54218415687984</v>
      </c>
      <c r="AB58" s="38">
        <f t="shared" si="42"/>
        <v>177.12559709065337</v>
      </c>
      <c r="AC58" s="38">
        <f t="shared" si="42"/>
        <v>187.25718124423872</v>
      </c>
      <c r="AD58" s="38">
        <f t="shared" si="42"/>
        <v>197.96829201140918</v>
      </c>
      <c r="AE58" s="38">
        <f t="shared" si="42"/>
        <v>209.2920783144618</v>
      </c>
      <c r="AF58" s="38">
        <f t="shared" si="42"/>
        <v>221.26358519404903</v>
      </c>
    </row>
    <row r="59" spans="2:32" ht="13">
      <c r="B59" s="15" t="s">
        <v>172</v>
      </c>
      <c r="C59" s="15"/>
      <c r="D59" s="17" t="s">
        <v>15</v>
      </c>
      <c r="E59" s="15"/>
      <c r="F59" s="98"/>
      <c r="G59" s="96"/>
      <c r="H59" s="90">
        <f t="shared" ref="H59:AF59" si="43">H58*Storage_interest_workingcap</f>
        <v>23.1</v>
      </c>
      <c r="I59" s="90">
        <f t="shared" si="43"/>
        <v>24.421320000000005</v>
      </c>
      <c r="J59" s="90">
        <f t="shared" si="43"/>
        <v>25.818219504000002</v>
      </c>
      <c r="K59" s="90">
        <f t="shared" si="43"/>
        <v>27.295021659628802</v>
      </c>
      <c r="L59" s="90">
        <f t="shared" si="43"/>
        <v>28.856296898559567</v>
      </c>
      <c r="M59" s="90">
        <f t="shared" si="43"/>
        <v>30.506877081157175</v>
      </c>
      <c r="N59" s="90">
        <f t="shared" si="43"/>
        <v>32.251870450199362</v>
      </c>
      <c r="O59" s="90">
        <f t="shared" si="43"/>
        <v>34.096677439950767</v>
      </c>
      <c r="P59" s="90">
        <f t="shared" si="43"/>
        <v>36.047007389515947</v>
      </c>
      <c r="Q59" s="90">
        <f t="shared" si="43"/>
        <v>38.108896212196264</v>
      </c>
      <c r="R59" s="90">
        <f t="shared" si="43"/>
        <v>40.28872507553389</v>
      </c>
      <c r="S59" s="90">
        <f t="shared" si="43"/>
        <v>42.593240149854424</v>
      </c>
      <c r="T59" s="90">
        <f t="shared" si="43"/>
        <v>45.029573486426095</v>
      </c>
      <c r="U59" s="90">
        <f t="shared" si="43"/>
        <v>13.860000000000001</v>
      </c>
      <c r="V59" s="90">
        <f t="shared" si="43"/>
        <v>14.652792</v>
      </c>
      <c r="W59" s="90">
        <f t="shared" si="43"/>
        <v>15.490931702400003</v>
      </c>
      <c r="X59" s="90">
        <f t="shared" si="43"/>
        <v>16.377012995777282</v>
      </c>
      <c r="Y59" s="90">
        <f t="shared" si="43"/>
        <v>17.313778139135742</v>
      </c>
      <c r="Z59" s="90">
        <f t="shared" si="43"/>
        <v>18.304126248694306</v>
      </c>
      <c r="AA59" s="90">
        <f t="shared" si="43"/>
        <v>19.351122270119621</v>
      </c>
      <c r="AB59" s="90">
        <f t="shared" si="43"/>
        <v>20.458006463970467</v>
      </c>
      <c r="AC59" s="90">
        <f t="shared" si="43"/>
        <v>21.628204433709573</v>
      </c>
      <c r="AD59" s="90">
        <f t="shared" si="43"/>
        <v>22.865337727317762</v>
      </c>
      <c r="AE59" s="90">
        <f t="shared" si="43"/>
        <v>24.17323504532034</v>
      </c>
      <c r="AF59" s="90">
        <f t="shared" si="43"/>
        <v>25.555944089912664</v>
      </c>
    </row>
    <row r="60" spans="2:32" ht="13">
      <c r="B60" s="15" t="s">
        <v>176</v>
      </c>
      <c r="C60" s="15"/>
      <c r="D60" s="17" t="s">
        <v>15</v>
      </c>
      <c r="E60" s="15"/>
      <c r="F60" s="15"/>
      <c r="G60" s="37"/>
      <c r="H60" s="38">
        <f t="shared" ref="H60:AF60" ca="1" si="44">IF(Storage_workingcapital_receivables&gt;0, (H44+H45+H42+H46+H48+H59)/(12/Storage_workingcapital_receivables),0)</f>
        <v>8240.6192307692309</v>
      </c>
      <c r="I60" s="38">
        <f t="shared" ca="1" si="44"/>
        <v>8254.5117584615382</v>
      </c>
      <c r="J60" s="38">
        <f t="shared" ca="1" si="44"/>
        <v>7941.5033965156244</v>
      </c>
      <c r="K60" s="38">
        <f t="shared" ca="1" si="44"/>
        <v>7629.891947377514</v>
      </c>
      <c r="L60" s="38">
        <f t="shared" ca="1" si="44"/>
        <v>7319.7573144598146</v>
      </c>
      <c r="M60" s="38">
        <f t="shared" ca="1" si="44"/>
        <v>7011.1839716503355</v>
      </c>
      <c r="N60" s="38">
        <f t="shared" ca="1" si="44"/>
        <v>6704.2612247432653</v>
      </c>
      <c r="O60" s="38">
        <f t="shared" ca="1" si="44"/>
        <v>6399.0834878242204</v>
      </c>
      <c r="P60" s="38">
        <f t="shared" ca="1" si="44"/>
        <v>6095.7505754645181</v>
      </c>
      <c r="Q60" s="38">
        <f t="shared" ca="1" si="44"/>
        <v>5794.3680116289506</v>
      </c>
      <c r="R60" s="38">
        <f t="shared" ca="1" si="44"/>
        <v>5495.0473562531033</v>
      </c>
      <c r="S60" s="38">
        <f t="shared" ca="1" si="44"/>
        <v>5526.1287727230883</v>
      </c>
      <c r="T60" s="38">
        <f t="shared" ca="1" si="44"/>
        <v>5559.5147262151559</v>
      </c>
      <c r="U60" s="38">
        <f t="shared" ca="1" si="44"/>
        <v>4944.371538461538</v>
      </c>
      <c r="V60" s="38">
        <f t="shared" ca="1" si="44"/>
        <v>4952.7070550769231</v>
      </c>
      <c r="W60" s="38">
        <f t="shared" ca="1" si="44"/>
        <v>4764.9020379093736</v>
      </c>
      <c r="X60" s="38">
        <f t="shared" ca="1" si="44"/>
        <v>4577.9351684265084</v>
      </c>
      <c r="Y60" s="38">
        <f t="shared" ca="1" si="44"/>
        <v>4391.8543886758889</v>
      </c>
      <c r="Z60" s="38">
        <f t="shared" ca="1" si="44"/>
        <v>4206.7103829902017</v>
      </c>
      <c r="AA60" s="38">
        <f t="shared" ca="1" si="44"/>
        <v>4022.5567348459595</v>
      </c>
      <c r="AB60" s="38">
        <f t="shared" ca="1" si="44"/>
        <v>3839.4500926945325</v>
      </c>
      <c r="AC60" s="38">
        <f t="shared" ca="1" si="44"/>
        <v>3657.4503452787108</v>
      </c>
      <c r="AD60" s="38">
        <f t="shared" ca="1" si="44"/>
        <v>3476.6208069773711</v>
      </c>
      <c r="AE60" s="38">
        <f t="shared" ca="1" si="44"/>
        <v>3297.0284137518615</v>
      </c>
      <c r="AF60" s="38">
        <f t="shared" ca="1" si="44"/>
        <v>3315.6772636338524</v>
      </c>
    </row>
    <row r="61" spans="2:32" ht="13">
      <c r="B61" s="15" t="s">
        <v>177</v>
      </c>
      <c r="C61" s="59"/>
      <c r="D61" s="65" t="s">
        <v>15</v>
      </c>
      <c r="E61" s="15"/>
      <c r="F61" s="45"/>
      <c r="G61" s="45"/>
      <c r="H61" s="89">
        <f t="shared" ref="H61:AF61" ca="1" si="45">H60*Storage_interest_workingcap</f>
        <v>951.79152115384625</v>
      </c>
      <c r="I61" s="89">
        <f t="shared" ca="1" si="45"/>
        <v>953.39610810230772</v>
      </c>
      <c r="J61" s="89">
        <f t="shared" ca="1" si="45"/>
        <v>917.24364229755463</v>
      </c>
      <c r="K61" s="89">
        <f t="shared" ca="1" si="45"/>
        <v>881.25251992210292</v>
      </c>
      <c r="L61" s="89">
        <f t="shared" ca="1" si="45"/>
        <v>845.43196982010863</v>
      </c>
      <c r="M61" s="89">
        <f t="shared" ca="1" si="45"/>
        <v>809.79174872561373</v>
      </c>
      <c r="N61" s="89">
        <f t="shared" ca="1" si="45"/>
        <v>774.34217145784714</v>
      </c>
      <c r="O61" s="89">
        <f t="shared" ca="1" si="45"/>
        <v>739.09414284369745</v>
      </c>
      <c r="P61" s="89">
        <f t="shared" ca="1" si="45"/>
        <v>704.0591914661519</v>
      </c>
      <c r="Q61" s="89">
        <f t="shared" ca="1" si="45"/>
        <v>669.24950534314382</v>
      </c>
      <c r="R61" s="89">
        <f t="shared" ca="1" si="45"/>
        <v>634.67796964723345</v>
      </c>
      <c r="S61" s="89">
        <f t="shared" ca="1" si="45"/>
        <v>638.2678732495167</v>
      </c>
      <c r="T61" s="89">
        <f t="shared" ca="1" si="45"/>
        <v>642.12395087785058</v>
      </c>
      <c r="U61" s="89">
        <f t="shared" ca="1" si="45"/>
        <v>571.07491269230763</v>
      </c>
      <c r="V61" s="89">
        <f t="shared" ca="1" si="45"/>
        <v>572.03766486138466</v>
      </c>
      <c r="W61" s="89">
        <f t="shared" ca="1" si="45"/>
        <v>550.34618537853271</v>
      </c>
      <c r="X61" s="89">
        <f t="shared" ca="1" si="45"/>
        <v>528.7515119532618</v>
      </c>
      <c r="Y61" s="89">
        <f t="shared" ca="1" si="45"/>
        <v>507.25918189206521</v>
      </c>
      <c r="Z61" s="89">
        <f t="shared" ca="1" si="45"/>
        <v>485.87504923536829</v>
      </c>
      <c r="AA61" s="89">
        <f t="shared" ca="1" si="45"/>
        <v>464.60530287470834</v>
      </c>
      <c r="AB61" s="89">
        <f t="shared" ca="1" si="45"/>
        <v>443.45648570621853</v>
      </c>
      <c r="AC61" s="89">
        <f t="shared" ca="1" si="45"/>
        <v>422.43551487969108</v>
      </c>
      <c r="AD61" s="89">
        <f t="shared" ca="1" si="45"/>
        <v>401.54970320588637</v>
      </c>
      <c r="AE61" s="89">
        <f t="shared" ca="1" si="45"/>
        <v>380.80678178834</v>
      </c>
      <c r="AF61" s="89">
        <f t="shared" ca="1" si="45"/>
        <v>382.96072394970997</v>
      </c>
    </row>
    <row r="62" spans="2:32" ht="13">
      <c r="B62" s="39"/>
      <c r="C62" s="15"/>
      <c r="D62" s="40"/>
      <c r="E62" s="41"/>
      <c r="F62" s="41"/>
      <c r="G62" s="42"/>
      <c r="H62" s="43"/>
      <c r="I62" s="89"/>
      <c r="J62" s="89"/>
      <c r="K62" s="89"/>
      <c r="L62" s="89"/>
      <c r="M62" s="89"/>
      <c r="N62" s="89"/>
      <c r="O62" s="89"/>
      <c r="P62" s="89"/>
      <c r="Q62" s="89"/>
      <c r="R62" s="89"/>
      <c r="S62" s="89"/>
      <c r="T62" s="89"/>
      <c r="U62" s="89"/>
      <c r="V62" s="89"/>
      <c r="W62" s="89"/>
      <c r="X62" s="89"/>
      <c r="Y62" s="89"/>
      <c r="Z62" s="89"/>
      <c r="AA62" s="89"/>
      <c r="AB62" s="89"/>
      <c r="AC62" s="89"/>
      <c r="AD62" s="89"/>
      <c r="AE62" s="89"/>
      <c r="AF62" s="89"/>
    </row>
    <row r="63" spans="2:32" ht="14.5">
      <c r="B63" s="205" t="s">
        <v>133</v>
      </c>
      <c r="C63" s="29"/>
      <c r="D63" s="30"/>
      <c r="E63" s="31"/>
      <c r="F63" s="32"/>
      <c r="G63" s="33"/>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row>
    <row r="64" spans="2:32" ht="13">
      <c r="B64" s="15" t="s">
        <v>89</v>
      </c>
      <c r="C64" s="29"/>
      <c r="D64" s="88"/>
      <c r="E64" s="31"/>
      <c r="F64" s="33"/>
      <c r="G64" s="33"/>
      <c r="H64" s="91">
        <f>Storage_base_year</f>
        <v>2020</v>
      </c>
      <c r="I64" s="91">
        <f>H64+1</f>
        <v>2021</v>
      </c>
      <c r="J64" s="91">
        <f t="shared" ref="J64:AF64" si="46">I64+1</f>
        <v>2022</v>
      </c>
      <c r="K64" s="91">
        <f t="shared" si="46"/>
        <v>2023</v>
      </c>
      <c r="L64" s="91">
        <f t="shared" si="46"/>
        <v>2024</v>
      </c>
      <c r="M64" s="91">
        <f t="shared" si="46"/>
        <v>2025</v>
      </c>
      <c r="N64" s="91">
        <f t="shared" si="46"/>
        <v>2026</v>
      </c>
      <c r="O64" s="91">
        <f t="shared" si="46"/>
        <v>2027</v>
      </c>
      <c r="P64" s="91">
        <f t="shared" si="46"/>
        <v>2028</v>
      </c>
      <c r="Q64" s="91">
        <f t="shared" si="46"/>
        <v>2029</v>
      </c>
      <c r="R64" s="91">
        <f t="shared" si="46"/>
        <v>2030</v>
      </c>
      <c r="S64" s="91">
        <f t="shared" si="46"/>
        <v>2031</v>
      </c>
      <c r="T64" s="91">
        <f t="shared" si="46"/>
        <v>2032</v>
      </c>
      <c r="U64" s="91">
        <f t="shared" si="46"/>
        <v>2033</v>
      </c>
      <c r="V64" s="91">
        <f t="shared" si="46"/>
        <v>2034</v>
      </c>
      <c r="W64" s="91">
        <f t="shared" si="46"/>
        <v>2035</v>
      </c>
      <c r="X64" s="91">
        <f t="shared" si="46"/>
        <v>2036</v>
      </c>
      <c r="Y64" s="91">
        <f t="shared" si="46"/>
        <v>2037</v>
      </c>
      <c r="Z64" s="91">
        <f t="shared" si="46"/>
        <v>2038</v>
      </c>
      <c r="AA64" s="91">
        <f t="shared" si="46"/>
        <v>2039</v>
      </c>
      <c r="AB64" s="91">
        <f t="shared" si="46"/>
        <v>2040</v>
      </c>
      <c r="AC64" s="91">
        <f t="shared" si="46"/>
        <v>2041</v>
      </c>
      <c r="AD64" s="91">
        <f t="shared" si="46"/>
        <v>2042</v>
      </c>
      <c r="AE64" s="91">
        <f t="shared" si="46"/>
        <v>2043</v>
      </c>
      <c r="AF64" s="91">
        <f t="shared" si="46"/>
        <v>2044</v>
      </c>
    </row>
    <row r="65" spans="2:32" ht="13">
      <c r="B65" s="15" t="s">
        <v>148</v>
      </c>
      <c r="C65" s="29"/>
      <c r="D65" s="40"/>
      <c r="E65" s="31"/>
      <c r="F65" s="33"/>
      <c r="G65" s="33"/>
      <c r="H65" s="38">
        <f t="shared" ref="H65:AF65" si="47">IF(MOD(H3,SolarPV_plant_life)=0, SolarPV_plant_life, MOD(H3,SolarPV_plant_life))</f>
        <v>1</v>
      </c>
      <c r="I65" s="38">
        <f t="shared" si="47"/>
        <v>2</v>
      </c>
      <c r="J65" s="38">
        <f t="shared" si="47"/>
        <v>3</v>
      </c>
      <c r="K65" s="38">
        <f t="shared" si="47"/>
        <v>4</v>
      </c>
      <c r="L65" s="38">
        <f t="shared" si="47"/>
        <v>5</v>
      </c>
      <c r="M65" s="38">
        <f t="shared" si="47"/>
        <v>6</v>
      </c>
      <c r="N65" s="38">
        <f t="shared" si="47"/>
        <v>7</v>
      </c>
      <c r="O65" s="38">
        <f t="shared" si="47"/>
        <v>8</v>
      </c>
      <c r="P65" s="38">
        <f t="shared" si="47"/>
        <v>9</v>
      </c>
      <c r="Q65" s="38">
        <f t="shared" si="47"/>
        <v>10</v>
      </c>
      <c r="R65" s="38">
        <f t="shared" si="47"/>
        <v>11</v>
      </c>
      <c r="S65" s="38">
        <f t="shared" si="47"/>
        <v>12</v>
      </c>
      <c r="T65" s="38">
        <f t="shared" si="47"/>
        <v>13</v>
      </c>
      <c r="U65" s="38">
        <f t="shared" si="47"/>
        <v>14</v>
      </c>
      <c r="V65" s="38">
        <f t="shared" si="47"/>
        <v>15</v>
      </c>
      <c r="W65" s="38">
        <f t="shared" si="47"/>
        <v>16</v>
      </c>
      <c r="X65" s="38">
        <f t="shared" si="47"/>
        <v>17</v>
      </c>
      <c r="Y65" s="38">
        <f t="shared" si="47"/>
        <v>18</v>
      </c>
      <c r="Z65" s="38">
        <f t="shared" si="47"/>
        <v>19</v>
      </c>
      <c r="AA65" s="38">
        <f t="shared" si="47"/>
        <v>20</v>
      </c>
      <c r="AB65" s="38">
        <f t="shared" si="47"/>
        <v>21</v>
      </c>
      <c r="AC65" s="38">
        <f t="shared" si="47"/>
        <v>22</v>
      </c>
      <c r="AD65" s="38">
        <f t="shared" si="47"/>
        <v>23</v>
      </c>
      <c r="AE65" s="38">
        <f t="shared" si="47"/>
        <v>24</v>
      </c>
      <c r="AF65" s="38">
        <f t="shared" si="47"/>
        <v>25</v>
      </c>
    </row>
    <row r="66" spans="2:32" ht="13">
      <c r="B66" s="15" t="s">
        <v>147</v>
      </c>
      <c r="C66" s="29"/>
      <c r="D66" s="40" t="s">
        <v>15</v>
      </c>
      <c r="E66" s="31"/>
      <c r="F66" s="33"/>
      <c r="G66" s="33"/>
      <c r="H66" s="38">
        <f t="shared" ref="H66:AF66" si="48">IF(H65=1, SolarPV_capex_perkW, 0)</f>
        <v>41000</v>
      </c>
      <c r="I66" s="38">
        <f t="shared" si="48"/>
        <v>0</v>
      </c>
      <c r="J66" s="38">
        <f t="shared" si="48"/>
        <v>0</v>
      </c>
      <c r="K66" s="38">
        <f t="shared" si="48"/>
        <v>0</v>
      </c>
      <c r="L66" s="38">
        <f t="shared" si="48"/>
        <v>0</v>
      </c>
      <c r="M66" s="38">
        <f t="shared" si="48"/>
        <v>0</v>
      </c>
      <c r="N66" s="38">
        <f t="shared" si="48"/>
        <v>0</v>
      </c>
      <c r="O66" s="38">
        <f t="shared" si="48"/>
        <v>0</v>
      </c>
      <c r="P66" s="38">
        <f t="shared" si="48"/>
        <v>0</v>
      </c>
      <c r="Q66" s="38">
        <f t="shared" si="48"/>
        <v>0</v>
      </c>
      <c r="R66" s="38">
        <f t="shared" si="48"/>
        <v>0</v>
      </c>
      <c r="S66" s="38">
        <f t="shared" si="48"/>
        <v>0</v>
      </c>
      <c r="T66" s="38">
        <f t="shared" si="48"/>
        <v>0</v>
      </c>
      <c r="U66" s="38">
        <f t="shared" si="48"/>
        <v>0</v>
      </c>
      <c r="V66" s="38">
        <f t="shared" si="48"/>
        <v>0</v>
      </c>
      <c r="W66" s="38">
        <f t="shared" si="48"/>
        <v>0</v>
      </c>
      <c r="X66" s="38">
        <f t="shared" si="48"/>
        <v>0</v>
      </c>
      <c r="Y66" s="38">
        <f t="shared" si="48"/>
        <v>0</v>
      </c>
      <c r="Z66" s="38">
        <f t="shared" si="48"/>
        <v>0</v>
      </c>
      <c r="AA66" s="38">
        <f t="shared" si="48"/>
        <v>0</v>
      </c>
      <c r="AB66" s="38">
        <f t="shared" si="48"/>
        <v>0</v>
      </c>
      <c r="AC66" s="38">
        <f t="shared" si="48"/>
        <v>0</v>
      </c>
      <c r="AD66" s="38">
        <f t="shared" si="48"/>
        <v>0</v>
      </c>
      <c r="AE66" s="38">
        <f t="shared" si="48"/>
        <v>0</v>
      </c>
      <c r="AF66" s="38">
        <f t="shared" si="48"/>
        <v>0</v>
      </c>
    </row>
    <row r="67" spans="2:32" ht="13">
      <c r="B67" s="15" t="s">
        <v>35</v>
      </c>
      <c r="C67" s="29"/>
      <c r="D67" s="40" t="s">
        <v>15</v>
      </c>
      <c r="E67" s="31"/>
      <c r="F67" s="33"/>
      <c r="G67" s="33"/>
      <c r="H67" s="38">
        <f t="shared" ref="H67:AF67" si="49">IF(H65=1, SolarPV_size*H66, 0)</f>
        <v>984000</v>
      </c>
      <c r="I67" s="38">
        <f t="shared" si="49"/>
        <v>0</v>
      </c>
      <c r="J67" s="38">
        <f t="shared" si="49"/>
        <v>0</v>
      </c>
      <c r="K67" s="38">
        <f t="shared" si="49"/>
        <v>0</v>
      </c>
      <c r="L67" s="38">
        <f t="shared" si="49"/>
        <v>0</v>
      </c>
      <c r="M67" s="38">
        <f t="shared" si="49"/>
        <v>0</v>
      </c>
      <c r="N67" s="38">
        <f t="shared" si="49"/>
        <v>0</v>
      </c>
      <c r="O67" s="38">
        <f t="shared" si="49"/>
        <v>0</v>
      </c>
      <c r="P67" s="38">
        <f t="shared" si="49"/>
        <v>0</v>
      </c>
      <c r="Q67" s="38">
        <f t="shared" si="49"/>
        <v>0</v>
      </c>
      <c r="R67" s="38">
        <f t="shared" si="49"/>
        <v>0</v>
      </c>
      <c r="S67" s="38">
        <f t="shared" si="49"/>
        <v>0</v>
      </c>
      <c r="T67" s="38">
        <f t="shared" si="49"/>
        <v>0</v>
      </c>
      <c r="U67" s="38">
        <f t="shared" si="49"/>
        <v>0</v>
      </c>
      <c r="V67" s="38">
        <f t="shared" si="49"/>
        <v>0</v>
      </c>
      <c r="W67" s="38">
        <f t="shared" si="49"/>
        <v>0</v>
      </c>
      <c r="X67" s="38">
        <f t="shared" si="49"/>
        <v>0</v>
      </c>
      <c r="Y67" s="38">
        <f t="shared" si="49"/>
        <v>0</v>
      </c>
      <c r="Z67" s="38">
        <f t="shared" si="49"/>
        <v>0</v>
      </c>
      <c r="AA67" s="38">
        <f t="shared" si="49"/>
        <v>0</v>
      </c>
      <c r="AB67" s="38">
        <f t="shared" si="49"/>
        <v>0</v>
      </c>
      <c r="AC67" s="38">
        <f t="shared" si="49"/>
        <v>0</v>
      </c>
      <c r="AD67" s="38">
        <f t="shared" si="49"/>
        <v>0</v>
      </c>
      <c r="AE67" s="38">
        <f t="shared" si="49"/>
        <v>0</v>
      </c>
      <c r="AF67" s="38">
        <f t="shared" si="49"/>
        <v>0</v>
      </c>
    </row>
    <row r="68" spans="2:32" ht="13">
      <c r="B68" s="15" t="s">
        <v>36</v>
      </c>
      <c r="C68" s="29"/>
      <c r="D68" s="40" t="s">
        <v>15</v>
      </c>
      <c r="E68" s="31"/>
      <c r="F68" s="33"/>
      <c r="G68" s="33"/>
      <c r="H68" s="38">
        <f t="shared" ref="H68:AF68" si="50">IF(H65=1, SolarPV_size*(H66-SolarPV_capitalsubsidy_perkW), 0)</f>
        <v>984000</v>
      </c>
      <c r="I68" s="38">
        <f t="shared" si="50"/>
        <v>0</v>
      </c>
      <c r="J68" s="38">
        <f t="shared" si="50"/>
        <v>0</v>
      </c>
      <c r="K68" s="38">
        <f t="shared" si="50"/>
        <v>0</v>
      </c>
      <c r="L68" s="38">
        <f t="shared" si="50"/>
        <v>0</v>
      </c>
      <c r="M68" s="38">
        <f t="shared" si="50"/>
        <v>0</v>
      </c>
      <c r="N68" s="38">
        <f t="shared" si="50"/>
        <v>0</v>
      </c>
      <c r="O68" s="38">
        <f t="shared" si="50"/>
        <v>0</v>
      </c>
      <c r="P68" s="38">
        <f t="shared" si="50"/>
        <v>0</v>
      </c>
      <c r="Q68" s="38">
        <f t="shared" si="50"/>
        <v>0</v>
      </c>
      <c r="R68" s="38">
        <f t="shared" si="50"/>
        <v>0</v>
      </c>
      <c r="S68" s="38">
        <f t="shared" si="50"/>
        <v>0</v>
      </c>
      <c r="T68" s="38">
        <f t="shared" si="50"/>
        <v>0</v>
      </c>
      <c r="U68" s="38">
        <f t="shared" si="50"/>
        <v>0</v>
      </c>
      <c r="V68" s="38">
        <f t="shared" si="50"/>
        <v>0</v>
      </c>
      <c r="W68" s="38">
        <f t="shared" si="50"/>
        <v>0</v>
      </c>
      <c r="X68" s="38">
        <f t="shared" si="50"/>
        <v>0</v>
      </c>
      <c r="Y68" s="38">
        <f t="shared" si="50"/>
        <v>0</v>
      </c>
      <c r="Z68" s="38">
        <f t="shared" si="50"/>
        <v>0</v>
      </c>
      <c r="AA68" s="38">
        <f t="shared" si="50"/>
        <v>0</v>
      </c>
      <c r="AB68" s="38">
        <f t="shared" si="50"/>
        <v>0</v>
      </c>
      <c r="AC68" s="38">
        <f t="shared" si="50"/>
        <v>0</v>
      </c>
      <c r="AD68" s="38">
        <f t="shared" si="50"/>
        <v>0</v>
      </c>
      <c r="AE68" s="38">
        <f t="shared" si="50"/>
        <v>0</v>
      </c>
      <c r="AF68" s="38">
        <f t="shared" si="50"/>
        <v>0</v>
      </c>
    </row>
    <row r="69" spans="2:32" ht="13">
      <c r="B69" s="15" t="s">
        <v>1</v>
      </c>
      <c r="C69" s="29"/>
      <c r="D69" s="40" t="s">
        <v>15</v>
      </c>
      <c r="E69" s="31"/>
      <c r="F69" s="33"/>
      <c r="G69" s="33"/>
      <c r="H69" s="38">
        <f t="shared" ref="H69:AF69" si="51">H68*Storage_equity_percentage</f>
        <v>295200</v>
      </c>
      <c r="I69" s="38">
        <f t="shared" si="51"/>
        <v>0</v>
      </c>
      <c r="J69" s="38">
        <f t="shared" si="51"/>
        <v>0</v>
      </c>
      <c r="K69" s="38">
        <f t="shared" si="51"/>
        <v>0</v>
      </c>
      <c r="L69" s="38">
        <f t="shared" si="51"/>
        <v>0</v>
      </c>
      <c r="M69" s="38">
        <f t="shared" si="51"/>
        <v>0</v>
      </c>
      <c r="N69" s="38">
        <f t="shared" si="51"/>
        <v>0</v>
      </c>
      <c r="O69" s="38">
        <f t="shared" si="51"/>
        <v>0</v>
      </c>
      <c r="P69" s="38">
        <f t="shared" si="51"/>
        <v>0</v>
      </c>
      <c r="Q69" s="38">
        <f t="shared" si="51"/>
        <v>0</v>
      </c>
      <c r="R69" s="38">
        <f t="shared" si="51"/>
        <v>0</v>
      </c>
      <c r="S69" s="38">
        <f t="shared" si="51"/>
        <v>0</v>
      </c>
      <c r="T69" s="38">
        <f t="shared" si="51"/>
        <v>0</v>
      </c>
      <c r="U69" s="38">
        <f t="shared" si="51"/>
        <v>0</v>
      </c>
      <c r="V69" s="38">
        <f t="shared" si="51"/>
        <v>0</v>
      </c>
      <c r="W69" s="38">
        <f t="shared" si="51"/>
        <v>0</v>
      </c>
      <c r="X69" s="38">
        <f t="shared" si="51"/>
        <v>0</v>
      </c>
      <c r="Y69" s="38">
        <f t="shared" si="51"/>
        <v>0</v>
      </c>
      <c r="Z69" s="38">
        <f t="shared" si="51"/>
        <v>0</v>
      </c>
      <c r="AA69" s="38">
        <f t="shared" si="51"/>
        <v>0</v>
      </c>
      <c r="AB69" s="38">
        <f t="shared" si="51"/>
        <v>0</v>
      </c>
      <c r="AC69" s="38">
        <f t="shared" si="51"/>
        <v>0</v>
      </c>
      <c r="AD69" s="38">
        <f t="shared" si="51"/>
        <v>0</v>
      </c>
      <c r="AE69" s="38">
        <f t="shared" si="51"/>
        <v>0</v>
      </c>
      <c r="AF69" s="38">
        <f t="shared" si="51"/>
        <v>0</v>
      </c>
    </row>
    <row r="70" spans="2:32" ht="13">
      <c r="B70" s="15" t="s">
        <v>2</v>
      </c>
      <c r="C70" s="29"/>
      <c r="D70" s="40" t="s">
        <v>15</v>
      </c>
      <c r="E70" s="31"/>
      <c r="F70" s="33"/>
      <c r="G70" s="33"/>
      <c r="H70" s="38">
        <f>H68-H69</f>
        <v>688800</v>
      </c>
      <c r="I70" s="38">
        <f t="shared" ref="I70:AF70" si="52">I68-I69</f>
        <v>0</v>
      </c>
      <c r="J70" s="38">
        <f t="shared" si="52"/>
        <v>0</v>
      </c>
      <c r="K70" s="38">
        <f t="shared" si="52"/>
        <v>0</v>
      </c>
      <c r="L70" s="38">
        <f t="shared" si="52"/>
        <v>0</v>
      </c>
      <c r="M70" s="38">
        <f t="shared" si="52"/>
        <v>0</v>
      </c>
      <c r="N70" s="38">
        <f t="shared" si="52"/>
        <v>0</v>
      </c>
      <c r="O70" s="38">
        <f t="shared" si="52"/>
        <v>0</v>
      </c>
      <c r="P70" s="38">
        <f t="shared" si="52"/>
        <v>0</v>
      </c>
      <c r="Q70" s="38">
        <f t="shared" si="52"/>
        <v>0</v>
      </c>
      <c r="R70" s="38">
        <f t="shared" si="52"/>
        <v>0</v>
      </c>
      <c r="S70" s="38">
        <f t="shared" si="52"/>
        <v>0</v>
      </c>
      <c r="T70" s="38">
        <f t="shared" si="52"/>
        <v>0</v>
      </c>
      <c r="U70" s="38">
        <f t="shared" si="52"/>
        <v>0</v>
      </c>
      <c r="V70" s="38">
        <f t="shared" si="52"/>
        <v>0</v>
      </c>
      <c r="W70" s="38">
        <f t="shared" si="52"/>
        <v>0</v>
      </c>
      <c r="X70" s="38">
        <f t="shared" si="52"/>
        <v>0</v>
      </c>
      <c r="Y70" s="38">
        <f t="shared" si="52"/>
        <v>0</v>
      </c>
      <c r="Z70" s="38">
        <f t="shared" si="52"/>
        <v>0</v>
      </c>
      <c r="AA70" s="38">
        <f t="shared" si="52"/>
        <v>0</v>
      </c>
      <c r="AB70" s="38">
        <f t="shared" si="52"/>
        <v>0</v>
      </c>
      <c r="AC70" s="38">
        <f t="shared" si="52"/>
        <v>0</v>
      </c>
      <c r="AD70" s="38">
        <f t="shared" si="52"/>
        <v>0</v>
      </c>
      <c r="AE70" s="38">
        <f t="shared" si="52"/>
        <v>0</v>
      </c>
      <c r="AF70" s="38">
        <f t="shared" si="52"/>
        <v>0</v>
      </c>
    </row>
    <row r="71" spans="2:32" ht="13">
      <c r="B71" s="15" t="s">
        <v>178</v>
      </c>
      <c r="C71" s="29"/>
      <c r="D71" s="40" t="s">
        <v>15</v>
      </c>
      <c r="E71" s="31"/>
      <c r="F71" s="33"/>
      <c r="G71" s="33"/>
      <c r="H71" s="38">
        <f t="shared" ref="H71" si="53">IF(H65=1, H67*Storage_depreciationrate_solarPV*Storage_depreciation_on_capexpercentage, G71)</f>
        <v>33652.799999999996</v>
      </c>
      <c r="I71" s="38">
        <f t="shared" ref="I71" si="54">IF(I65=1, I67*Storage_depreciationrate_solarPV*Storage_depreciation_on_capexpercentage, H71)</f>
        <v>33652.799999999996</v>
      </c>
      <c r="J71" s="38">
        <f t="shared" ref="J71" si="55">IF(J65=1, J67*Storage_depreciationrate_solarPV*Storage_depreciation_on_capexpercentage, I71)</f>
        <v>33652.799999999996</v>
      </c>
      <c r="K71" s="38">
        <f t="shared" ref="K71" si="56">IF(K65=1, K67*Storage_depreciationrate_solarPV*Storage_depreciation_on_capexpercentage, J71)</f>
        <v>33652.799999999996</v>
      </c>
      <c r="L71" s="38">
        <f t="shared" ref="L71" si="57">IF(L65=1, L67*Storage_depreciationrate_solarPV*Storage_depreciation_on_capexpercentage, K71)</f>
        <v>33652.799999999996</v>
      </c>
      <c r="M71" s="38">
        <f t="shared" ref="M71" si="58">IF(M65=1, M67*Storage_depreciationrate_solarPV*Storage_depreciation_on_capexpercentage, L71)</f>
        <v>33652.799999999996</v>
      </c>
      <c r="N71" s="38">
        <f t="shared" ref="N71" si="59">IF(N65=1, N67*Storage_depreciationrate_solarPV*Storage_depreciation_on_capexpercentage, M71)</f>
        <v>33652.799999999996</v>
      </c>
      <c r="O71" s="38">
        <f t="shared" ref="O71" si="60">IF(O65=1, O67*Storage_depreciationrate_solarPV*Storage_depreciation_on_capexpercentage, N71)</f>
        <v>33652.799999999996</v>
      </c>
      <c r="P71" s="38">
        <f t="shared" ref="P71" si="61">IF(P65=1, P67*Storage_depreciationrate_solarPV*Storage_depreciation_on_capexpercentage, O71)</f>
        <v>33652.799999999996</v>
      </c>
      <c r="Q71" s="38">
        <f t="shared" ref="Q71" si="62">IF(Q65=1, Q67*Storage_depreciationrate_solarPV*Storage_depreciation_on_capexpercentage, P71)</f>
        <v>33652.799999999996</v>
      </c>
      <c r="R71" s="38">
        <f t="shared" ref="R71" si="63">IF(R65=1, R67*Storage_depreciationrate_solarPV*Storage_depreciation_on_capexpercentage, Q71)</f>
        <v>33652.799999999996</v>
      </c>
      <c r="S71" s="38">
        <f t="shared" ref="S71" si="64">IF(S65=1, S67*Storage_depreciationrate_solarPV*Storage_depreciation_on_capexpercentage, R71)</f>
        <v>33652.799999999996</v>
      </c>
      <c r="T71" s="38">
        <f t="shared" ref="T71" si="65">IF(T65=1, T67*Storage_depreciationrate_solarPV*Storage_depreciation_on_capexpercentage, S71)</f>
        <v>33652.799999999996</v>
      </c>
      <c r="U71" s="38">
        <f t="shared" ref="U71" si="66">IF(U65=1, U67*Storage_depreciationrate_solarPV*Storage_depreciation_on_capexpercentage, T71)</f>
        <v>33652.799999999996</v>
      </c>
      <c r="V71" s="38">
        <f t="shared" ref="V71" si="67">IF(V65=1, V67*Storage_depreciationrate_solarPV*Storage_depreciation_on_capexpercentage, U71)</f>
        <v>33652.799999999996</v>
      </c>
      <c r="W71" s="38">
        <f t="shared" ref="W71" si="68">IF(W65=1, W67*Storage_depreciationrate_solarPV*Storage_depreciation_on_capexpercentage, V71)</f>
        <v>33652.799999999996</v>
      </c>
      <c r="X71" s="38">
        <f t="shared" ref="X71" si="69">IF(X65=1, X67*Storage_depreciationrate_solarPV*Storage_depreciation_on_capexpercentage, W71)</f>
        <v>33652.799999999996</v>
      </c>
      <c r="Y71" s="38">
        <f t="shared" ref="Y71" si="70">IF(Y65=1, Y67*Storage_depreciationrate_solarPV*Storage_depreciation_on_capexpercentage, X71)</f>
        <v>33652.799999999996</v>
      </c>
      <c r="Z71" s="38">
        <f t="shared" ref="Z71" si="71">IF(Z65=1, Z67*Storage_depreciationrate_solarPV*Storage_depreciation_on_capexpercentage, Y71)</f>
        <v>33652.799999999996</v>
      </c>
      <c r="AA71" s="38">
        <f t="shared" ref="AA71" si="72">IF(AA65=1, AA67*Storage_depreciationrate_solarPV*Storage_depreciation_on_capexpercentage, Z71)</f>
        <v>33652.799999999996</v>
      </c>
      <c r="AB71" s="38">
        <f t="shared" ref="AB71" si="73">IF(AB65=1, AB67*Storage_depreciationrate_solarPV*Storage_depreciation_on_capexpercentage, AA71)</f>
        <v>33652.799999999996</v>
      </c>
      <c r="AC71" s="38">
        <f t="shared" ref="AC71" si="74">IF(AC65=1, AC67*Storage_depreciationrate_solarPV*Storage_depreciation_on_capexpercentage, AB71)</f>
        <v>33652.799999999996</v>
      </c>
      <c r="AD71" s="38">
        <f t="shared" ref="AD71" si="75">IF(AD65=1, AD67*Storage_depreciationrate_solarPV*Storage_depreciation_on_capexpercentage, AC71)</f>
        <v>33652.799999999996</v>
      </c>
      <c r="AE71" s="38">
        <f t="shared" ref="AE71" si="76">IF(AE65=1, AE67*Storage_depreciationrate_solarPV*Storage_depreciation_on_capexpercentage, AD71)</f>
        <v>33652.799999999996</v>
      </c>
      <c r="AF71" s="38">
        <f t="shared" ref="AF71" si="77">IF(AF65=1, AF67*Storage_depreciationrate_solarPV*Storage_depreciation_on_capexpercentage, AE71)</f>
        <v>33652.799999999996</v>
      </c>
    </row>
    <row r="72" spans="2:32" ht="13">
      <c r="B72" s="15" t="s">
        <v>179</v>
      </c>
      <c r="C72" s="29"/>
      <c r="D72" s="40" t="s">
        <v>15</v>
      </c>
      <c r="E72" s="31"/>
      <c r="F72" s="33"/>
      <c r="G72" s="33"/>
      <c r="H72" s="38">
        <f t="shared" ref="H72:AF72" si="78">IF(H65=1, H68*Storage_depreciationrate_solarPV*Storage_depreciation_on_capexpercentage, G72)</f>
        <v>33652.799999999996</v>
      </c>
      <c r="I72" s="38">
        <f t="shared" si="78"/>
        <v>33652.799999999996</v>
      </c>
      <c r="J72" s="38">
        <f t="shared" si="78"/>
        <v>33652.799999999996</v>
      </c>
      <c r="K72" s="38">
        <f t="shared" si="78"/>
        <v>33652.799999999996</v>
      </c>
      <c r="L72" s="38">
        <f t="shared" si="78"/>
        <v>33652.799999999996</v>
      </c>
      <c r="M72" s="38">
        <f t="shared" si="78"/>
        <v>33652.799999999996</v>
      </c>
      <c r="N72" s="38">
        <f t="shared" si="78"/>
        <v>33652.799999999996</v>
      </c>
      <c r="O72" s="38">
        <f t="shared" si="78"/>
        <v>33652.799999999996</v>
      </c>
      <c r="P72" s="38">
        <f t="shared" si="78"/>
        <v>33652.799999999996</v>
      </c>
      <c r="Q72" s="38">
        <f t="shared" si="78"/>
        <v>33652.799999999996</v>
      </c>
      <c r="R72" s="38">
        <f t="shared" si="78"/>
        <v>33652.799999999996</v>
      </c>
      <c r="S72" s="38">
        <f t="shared" si="78"/>
        <v>33652.799999999996</v>
      </c>
      <c r="T72" s="38">
        <f t="shared" si="78"/>
        <v>33652.799999999996</v>
      </c>
      <c r="U72" s="38">
        <f t="shared" si="78"/>
        <v>33652.799999999996</v>
      </c>
      <c r="V72" s="38">
        <f t="shared" si="78"/>
        <v>33652.799999999996</v>
      </c>
      <c r="W72" s="38">
        <f t="shared" si="78"/>
        <v>33652.799999999996</v>
      </c>
      <c r="X72" s="38">
        <f t="shared" si="78"/>
        <v>33652.799999999996</v>
      </c>
      <c r="Y72" s="38">
        <f t="shared" si="78"/>
        <v>33652.799999999996</v>
      </c>
      <c r="Z72" s="38">
        <f t="shared" si="78"/>
        <v>33652.799999999996</v>
      </c>
      <c r="AA72" s="38">
        <f t="shared" si="78"/>
        <v>33652.799999999996</v>
      </c>
      <c r="AB72" s="38">
        <f t="shared" si="78"/>
        <v>33652.799999999996</v>
      </c>
      <c r="AC72" s="38">
        <f t="shared" si="78"/>
        <v>33652.799999999996</v>
      </c>
      <c r="AD72" s="38">
        <f t="shared" si="78"/>
        <v>33652.799999999996</v>
      </c>
      <c r="AE72" s="38">
        <f t="shared" si="78"/>
        <v>33652.799999999996</v>
      </c>
      <c r="AF72" s="38">
        <f t="shared" si="78"/>
        <v>33652.799999999996</v>
      </c>
    </row>
    <row r="73" spans="2:32" ht="13">
      <c r="B73" s="15" t="s">
        <v>32</v>
      </c>
      <c r="C73" s="29"/>
      <c r="D73" s="40" t="s">
        <v>15</v>
      </c>
      <c r="E73" s="31"/>
      <c r="F73" s="33"/>
      <c r="G73" s="33"/>
      <c r="H73" s="43">
        <f>IF(H65=1, H67, G73-G71)</f>
        <v>984000</v>
      </c>
      <c r="I73" s="43">
        <f t="shared" ref="I73:AF73" si="79">IF(I65=1, I67, H73-H71)</f>
        <v>950347.2</v>
      </c>
      <c r="J73" s="43">
        <f t="shared" si="79"/>
        <v>916694.39999999991</v>
      </c>
      <c r="K73" s="43">
        <f t="shared" si="79"/>
        <v>883041.59999999986</v>
      </c>
      <c r="L73" s="43">
        <f t="shared" si="79"/>
        <v>849388.79999999981</v>
      </c>
      <c r="M73" s="43">
        <f t="shared" si="79"/>
        <v>815735.99999999977</v>
      </c>
      <c r="N73" s="43">
        <f t="shared" si="79"/>
        <v>782083.19999999972</v>
      </c>
      <c r="O73" s="43">
        <f t="shared" si="79"/>
        <v>748430.39999999967</v>
      </c>
      <c r="P73" s="43">
        <f t="shared" si="79"/>
        <v>714777.59999999963</v>
      </c>
      <c r="Q73" s="43">
        <f t="shared" si="79"/>
        <v>681124.79999999958</v>
      </c>
      <c r="R73" s="43">
        <f t="shared" si="79"/>
        <v>647471.99999999953</v>
      </c>
      <c r="S73" s="43">
        <f t="shared" si="79"/>
        <v>613819.19999999949</v>
      </c>
      <c r="T73" s="43">
        <f t="shared" si="79"/>
        <v>580166.39999999944</v>
      </c>
      <c r="U73" s="43">
        <f t="shared" si="79"/>
        <v>546513.59999999939</v>
      </c>
      <c r="V73" s="43">
        <f t="shared" si="79"/>
        <v>512860.79999999941</v>
      </c>
      <c r="W73" s="43">
        <f t="shared" si="79"/>
        <v>479207.99999999942</v>
      </c>
      <c r="X73" s="43">
        <f t="shared" si="79"/>
        <v>445555.19999999943</v>
      </c>
      <c r="Y73" s="43">
        <f t="shared" si="79"/>
        <v>411902.39999999944</v>
      </c>
      <c r="Z73" s="43">
        <f t="shared" si="79"/>
        <v>378249.59999999945</v>
      </c>
      <c r="AA73" s="43">
        <f t="shared" si="79"/>
        <v>344596.79999999946</v>
      </c>
      <c r="AB73" s="43">
        <f t="shared" si="79"/>
        <v>310943.99999999948</v>
      </c>
      <c r="AC73" s="43">
        <f t="shared" si="79"/>
        <v>277291.19999999949</v>
      </c>
      <c r="AD73" s="43">
        <f t="shared" si="79"/>
        <v>243638.3999999995</v>
      </c>
      <c r="AE73" s="43">
        <f t="shared" si="79"/>
        <v>209985.59999999951</v>
      </c>
      <c r="AF73" s="43">
        <f t="shared" si="79"/>
        <v>176332.79999999952</v>
      </c>
    </row>
    <row r="74" spans="2:32" ht="13">
      <c r="B74" s="15" t="s">
        <v>19</v>
      </c>
      <c r="C74" s="29"/>
      <c r="D74" s="40" t="s">
        <v>15</v>
      </c>
      <c r="E74" s="31"/>
      <c r="F74" s="33"/>
      <c r="G74" s="33"/>
      <c r="H74" s="38">
        <f t="shared" ref="H74:AF74" si="80">IF(H65=1,H67*SolarPV_OandM_year1, G74+(G74*Storage_OandM_escalation))</f>
        <v>13776</v>
      </c>
      <c r="I74" s="38">
        <f t="shared" si="80"/>
        <v>14563.9872</v>
      </c>
      <c r="J74" s="38">
        <f t="shared" si="80"/>
        <v>15397.04726784</v>
      </c>
      <c r="K74" s="38">
        <f t="shared" si="80"/>
        <v>16277.758371560449</v>
      </c>
      <c r="L74" s="38">
        <f t="shared" si="80"/>
        <v>17208.846150413705</v>
      </c>
      <c r="M74" s="38">
        <f t="shared" si="80"/>
        <v>18193.192150217368</v>
      </c>
      <c r="N74" s="38">
        <f t="shared" si="80"/>
        <v>19233.842741209803</v>
      </c>
      <c r="O74" s="38">
        <f t="shared" si="80"/>
        <v>20334.018546007002</v>
      </c>
      <c r="P74" s="38">
        <f t="shared" si="80"/>
        <v>21497.124406838604</v>
      </c>
      <c r="Q74" s="38">
        <f t="shared" si="80"/>
        <v>22726.759922909772</v>
      </c>
      <c r="R74" s="38">
        <f t="shared" si="80"/>
        <v>24026.73059050021</v>
      </c>
      <c r="S74" s="38">
        <f t="shared" si="80"/>
        <v>25401.059580276822</v>
      </c>
      <c r="T74" s="38">
        <f t="shared" si="80"/>
        <v>26854.000188268656</v>
      </c>
      <c r="U74" s="38">
        <f t="shared" si="80"/>
        <v>28390.048999037623</v>
      </c>
      <c r="V74" s="38">
        <f t="shared" si="80"/>
        <v>30013.959801782574</v>
      </c>
      <c r="W74" s="38">
        <f t="shared" si="80"/>
        <v>31730.758302444538</v>
      </c>
      <c r="X74" s="38">
        <f t="shared" si="80"/>
        <v>33545.757677344365</v>
      </c>
      <c r="Y74" s="38">
        <f t="shared" si="80"/>
        <v>35464.575016488467</v>
      </c>
      <c r="Z74" s="38">
        <f t="shared" si="80"/>
        <v>37493.14870743161</v>
      </c>
      <c r="AA74" s="38">
        <f t="shared" si="80"/>
        <v>39637.7568134967</v>
      </c>
      <c r="AB74" s="38">
        <f t="shared" si="80"/>
        <v>41905.036503228708</v>
      </c>
      <c r="AC74" s="38">
        <f t="shared" si="80"/>
        <v>44302.004591213394</v>
      </c>
      <c r="AD74" s="38">
        <f t="shared" si="80"/>
        <v>46836.079253830801</v>
      </c>
      <c r="AE74" s="38">
        <f t="shared" si="80"/>
        <v>49515.102987149919</v>
      </c>
      <c r="AF74" s="38">
        <f t="shared" si="80"/>
        <v>52347.366878014895</v>
      </c>
    </row>
    <row r="75" spans="2:32" ht="13">
      <c r="B75" s="15" t="s">
        <v>31</v>
      </c>
      <c r="C75" s="15"/>
      <c r="D75" s="40" t="s">
        <v>15</v>
      </c>
      <c r="E75" s="41"/>
      <c r="F75" s="41"/>
      <c r="G75" s="42"/>
      <c r="H75" s="89">
        <f t="shared" ref="H75:AF75" si="81">Storage_insurance*H73</f>
        <v>3444</v>
      </c>
      <c r="I75" s="89">
        <f t="shared" si="81"/>
        <v>3326.2152000000001</v>
      </c>
      <c r="J75" s="89">
        <f t="shared" si="81"/>
        <v>3208.4303999999997</v>
      </c>
      <c r="K75" s="89">
        <f t="shared" si="81"/>
        <v>3090.6455999999994</v>
      </c>
      <c r="L75" s="89">
        <f t="shared" si="81"/>
        <v>2972.8607999999995</v>
      </c>
      <c r="M75" s="89">
        <f t="shared" si="81"/>
        <v>2855.0759999999991</v>
      </c>
      <c r="N75" s="89">
        <f t="shared" si="81"/>
        <v>2737.2911999999992</v>
      </c>
      <c r="O75" s="89">
        <f t="shared" si="81"/>
        <v>2619.5063999999988</v>
      </c>
      <c r="P75" s="89">
        <f t="shared" si="81"/>
        <v>2501.7215999999989</v>
      </c>
      <c r="Q75" s="89">
        <f t="shared" si="81"/>
        <v>2383.9367999999986</v>
      </c>
      <c r="R75" s="89">
        <f t="shared" si="81"/>
        <v>2266.1519999999982</v>
      </c>
      <c r="S75" s="89">
        <f t="shared" si="81"/>
        <v>2148.3671999999983</v>
      </c>
      <c r="T75" s="89">
        <f t="shared" si="81"/>
        <v>2030.5823999999982</v>
      </c>
      <c r="U75" s="89">
        <f t="shared" si="81"/>
        <v>1912.7975999999978</v>
      </c>
      <c r="V75" s="89">
        <f t="shared" si="81"/>
        <v>1795.0127999999979</v>
      </c>
      <c r="W75" s="89">
        <f t="shared" si="81"/>
        <v>1677.227999999998</v>
      </c>
      <c r="X75" s="89">
        <f t="shared" si="81"/>
        <v>1559.4431999999981</v>
      </c>
      <c r="Y75" s="89">
        <f t="shared" si="81"/>
        <v>1441.658399999998</v>
      </c>
      <c r="Z75" s="89">
        <f t="shared" si="81"/>
        <v>1323.8735999999981</v>
      </c>
      <c r="AA75" s="89">
        <f t="shared" si="81"/>
        <v>1206.0887999999982</v>
      </c>
      <c r="AB75" s="89">
        <f t="shared" si="81"/>
        <v>1088.3039999999983</v>
      </c>
      <c r="AC75" s="89">
        <f t="shared" si="81"/>
        <v>970.51919999999825</v>
      </c>
      <c r="AD75" s="89">
        <f t="shared" si="81"/>
        <v>852.73439999999823</v>
      </c>
      <c r="AE75" s="89">
        <f t="shared" si="81"/>
        <v>734.94959999999833</v>
      </c>
      <c r="AF75" s="89">
        <f t="shared" si="81"/>
        <v>617.16479999999831</v>
      </c>
    </row>
    <row r="76" spans="2:32" ht="13">
      <c r="B76" s="41" t="s">
        <v>187</v>
      </c>
      <c r="C76" s="41"/>
      <c r="D76" s="40" t="s">
        <v>15</v>
      </c>
      <c r="E76" s="41"/>
      <c r="F76" s="41"/>
      <c r="G76" s="42"/>
      <c r="H76" s="43">
        <f>H84</f>
        <v>72668.399999999994</v>
      </c>
      <c r="I76" s="43">
        <f t="shared" ref="I76:AF76" ca="1" si="82">I84</f>
        <v>72668.399999999994</v>
      </c>
      <c r="J76" s="43">
        <f t="shared" ca="1" si="82"/>
        <v>64594.133333333324</v>
      </c>
      <c r="K76" s="43">
        <f t="shared" ca="1" si="82"/>
        <v>56519.866666666654</v>
      </c>
      <c r="L76" s="43">
        <f t="shared" ca="1" si="82"/>
        <v>48445.599999999991</v>
      </c>
      <c r="M76" s="43">
        <f t="shared" ca="1" si="82"/>
        <v>40371.333333333328</v>
      </c>
      <c r="N76" s="43">
        <f t="shared" ca="1" si="82"/>
        <v>32297.066666666662</v>
      </c>
      <c r="O76" s="43">
        <f t="shared" ca="1" si="82"/>
        <v>24222.799999999999</v>
      </c>
      <c r="P76" s="43">
        <f t="shared" ca="1" si="82"/>
        <v>16148.533333333335</v>
      </c>
      <c r="Q76" s="43">
        <f t="shared" ca="1" si="82"/>
        <v>8074.2666666666692</v>
      </c>
      <c r="R76" s="43">
        <f t="shared" ca="1" si="82"/>
        <v>0</v>
      </c>
      <c r="S76" s="43">
        <f t="shared" ca="1" si="82"/>
        <v>0</v>
      </c>
      <c r="T76" s="43">
        <f t="shared" ca="1" si="82"/>
        <v>0</v>
      </c>
      <c r="U76" s="43">
        <f t="shared" ca="1" si="82"/>
        <v>0</v>
      </c>
      <c r="V76" s="43">
        <f t="shared" ca="1" si="82"/>
        <v>0</v>
      </c>
      <c r="W76" s="43">
        <f t="shared" ca="1" si="82"/>
        <v>0</v>
      </c>
      <c r="X76" s="43">
        <f t="shared" ca="1" si="82"/>
        <v>0</v>
      </c>
      <c r="Y76" s="43">
        <f t="shared" ca="1" si="82"/>
        <v>0</v>
      </c>
      <c r="Z76" s="43">
        <f t="shared" ca="1" si="82"/>
        <v>0</v>
      </c>
      <c r="AA76" s="43">
        <f t="shared" ca="1" si="82"/>
        <v>0</v>
      </c>
      <c r="AB76" s="43">
        <f t="shared" ca="1" si="82"/>
        <v>0</v>
      </c>
      <c r="AC76" s="43">
        <f t="shared" ca="1" si="82"/>
        <v>0</v>
      </c>
      <c r="AD76" s="43">
        <f t="shared" ca="1" si="82"/>
        <v>0</v>
      </c>
      <c r="AE76" s="43">
        <f t="shared" ca="1" si="82"/>
        <v>0</v>
      </c>
      <c r="AF76" s="43">
        <f t="shared" ca="1" si="82"/>
        <v>0</v>
      </c>
    </row>
    <row r="77" spans="2:32" ht="13">
      <c r="B77" s="41" t="s">
        <v>188</v>
      </c>
      <c r="C77" s="41"/>
      <c r="D77" s="40" t="s">
        <v>15</v>
      </c>
      <c r="E77" s="41"/>
      <c r="F77" s="44"/>
      <c r="G77" s="45"/>
      <c r="H77" s="90">
        <f ca="1">H89+H91</f>
        <v>3513.4521344999998</v>
      </c>
      <c r="I77" s="90">
        <f t="shared" ref="I77:AF77" ca="1" si="83">I89+I91</f>
        <v>3534.0839067533998</v>
      </c>
      <c r="J77" s="90">
        <f t="shared" ca="1" si="83"/>
        <v>3400.5958758896409</v>
      </c>
      <c r="K77" s="90">
        <f t="shared" ca="1" si="83"/>
        <v>3268.4925975304222</v>
      </c>
      <c r="L77" s="90">
        <f t="shared" ca="1" si="83"/>
        <v>3137.8532795190017</v>
      </c>
      <c r="M77" s="90">
        <f t="shared" ca="1" si="83"/>
        <v>3008.7616603872757</v>
      </c>
      <c r="N77" s="90">
        <f t="shared" ca="1" si="83"/>
        <v>2881.3062685111618</v>
      </c>
      <c r="O77" s="90">
        <f t="shared" ca="1" si="83"/>
        <v>2755.5806960896798</v>
      </c>
      <c r="P77" s="90">
        <f t="shared" ca="1" si="83"/>
        <v>2631.683888795636</v>
      </c>
      <c r="Q77" s="90">
        <f t="shared" ca="1" si="83"/>
        <v>2509.7204519943193</v>
      </c>
      <c r="R77" s="90">
        <f t="shared" ca="1" si="83"/>
        <v>2389.8009744779147</v>
      </c>
      <c r="S77" s="90">
        <f t="shared" ca="1" si="83"/>
        <v>2427.4720040508519</v>
      </c>
      <c r="T77" s="90">
        <f t="shared" ca="1" si="83"/>
        <v>2467.4275093586402</v>
      </c>
      <c r="U77" s="90">
        <f t="shared" ca="1" si="83"/>
        <v>2509.798162413314</v>
      </c>
      <c r="V77" s="90">
        <f t="shared" ca="1" si="83"/>
        <v>2554.722109665996</v>
      </c>
      <c r="W77" s="90">
        <f t="shared" ca="1" si="83"/>
        <v>2602.3453995448108</v>
      </c>
      <c r="X77" s="90">
        <f t="shared" ca="1" si="83"/>
        <v>2652.822434447974</v>
      </c>
      <c r="Y77" s="90">
        <f t="shared" ca="1" si="83"/>
        <v>2706.3164485908783</v>
      </c>
      <c r="Z77" s="90">
        <f t="shared" ca="1" si="83"/>
        <v>2763.0000131860361</v>
      </c>
      <c r="AA77" s="90">
        <f t="shared" ca="1" si="83"/>
        <v>2823.0555705193178</v>
      </c>
      <c r="AB77" s="90">
        <f t="shared" ca="1" si="83"/>
        <v>2886.6759985753429</v>
      </c>
      <c r="AC77" s="90">
        <f t="shared" ca="1" si="83"/>
        <v>2954.0652079594524</v>
      </c>
      <c r="AD77" s="90">
        <f t="shared" ca="1" si="83"/>
        <v>3025.4387729636128</v>
      </c>
      <c r="AE77" s="90">
        <f t="shared" ca="1" si="83"/>
        <v>3101.0245987292919</v>
      </c>
      <c r="AF77" s="90">
        <f t="shared" ca="1" si="83"/>
        <v>3181.0636265720477</v>
      </c>
    </row>
    <row r="78" spans="2:32" ht="13">
      <c r="B78" s="15" t="s">
        <v>186</v>
      </c>
      <c r="C78" s="15"/>
      <c r="D78" s="17" t="s">
        <v>15</v>
      </c>
      <c r="E78" s="15"/>
      <c r="F78" s="46"/>
      <c r="G78" s="47"/>
      <c r="H78" s="90">
        <f t="shared" ref="H78:AF78" ca="1" si="84">OFFSET(H69,0,1-H65)*Storage_ROE</f>
        <v>51955.199999999997</v>
      </c>
      <c r="I78" s="90">
        <f t="shared" ca="1" si="84"/>
        <v>51955.199999999997</v>
      </c>
      <c r="J78" s="90">
        <f t="shared" ca="1" si="84"/>
        <v>51955.199999999997</v>
      </c>
      <c r="K78" s="90">
        <f t="shared" ca="1" si="84"/>
        <v>51955.199999999997</v>
      </c>
      <c r="L78" s="90">
        <f t="shared" ca="1" si="84"/>
        <v>51955.199999999997</v>
      </c>
      <c r="M78" s="90">
        <f t="shared" ca="1" si="84"/>
        <v>51955.199999999997</v>
      </c>
      <c r="N78" s="90">
        <f t="shared" ca="1" si="84"/>
        <v>51955.199999999997</v>
      </c>
      <c r="O78" s="90">
        <f t="shared" ca="1" si="84"/>
        <v>51955.199999999997</v>
      </c>
      <c r="P78" s="90">
        <f t="shared" ca="1" si="84"/>
        <v>51955.199999999997</v>
      </c>
      <c r="Q78" s="90">
        <f t="shared" ca="1" si="84"/>
        <v>51955.199999999997</v>
      </c>
      <c r="R78" s="90">
        <f t="shared" ca="1" si="84"/>
        <v>51955.199999999997</v>
      </c>
      <c r="S78" s="90">
        <f t="shared" ca="1" si="84"/>
        <v>51955.199999999997</v>
      </c>
      <c r="T78" s="90">
        <f t="shared" ca="1" si="84"/>
        <v>51955.199999999997</v>
      </c>
      <c r="U78" s="90">
        <f t="shared" ca="1" si="84"/>
        <v>51955.199999999997</v>
      </c>
      <c r="V78" s="90">
        <f t="shared" ca="1" si="84"/>
        <v>51955.199999999997</v>
      </c>
      <c r="W78" s="90">
        <f t="shared" ca="1" si="84"/>
        <v>51955.199999999997</v>
      </c>
      <c r="X78" s="90">
        <f t="shared" ca="1" si="84"/>
        <v>51955.199999999997</v>
      </c>
      <c r="Y78" s="90">
        <f t="shared" ca="1" si="84"/>
        <v>51955.199999999997</v>
      </c>
      <c r="Z78" s="90">
        <f t="shared" ca="1" si="84"/>
        <v>51955.199999999997</v>
      </c>
      <c r="AA78" s="90">
        <f t="shared" ca="1" si="84"/>
        <v>51955.199999999997</v>
      </c>
      <c r="AB78" s="90">
        <f t="shared" ca="1" si="84"/>
        <v>51955.199999999997</v>
      </c>
      <c r="AC78" s="90">
        <f t="shared" ca="1" si="84"/>
        <v>51955.199999999997</v>
      </c>
      <c r="AD78" s="90">
        <f t="shared" ca="1" si="84"/>
        <v>51955.199999999997</v>
      </c>
      <c r="AE78" s="90">
        <f t="shared" ca="1" si="84"/>
        <v>51955.199999999997</v>
      </c>
      <c r="AF78" s="90">
        <f t="shared" ca="1" si="84"/>
        <v>51955.199999999997</v>
      </c>
    </row>
    <row r="79" spans="2:32" ht="13">
      <c r="B79" s="39"/>
      <c r="C79" s="15"/>
      <c r="D79" s="17"/>
      <c r="E79" s="15"/>
      <c r="F79" s="15"/>
      <c r="G79" s="37"/>
      <c r="H79" s="38"/>
      <c r="I79" s="90"/>
      <c r="J79" s="90"/>
      <c r="K79" s="90"/>
      <c r="L79" s="90"/>
      <c r="M79" s="90"/>
      <c r="N79" s="90"/>
      <c r="O79" s="90"/>
      <c r="P79" s="90"/>
      <c r="Q79" s="90"/>
      <c r="R79" s="90"/>
      <c r="S79" s="90"/>
      <c r="T79" s="90"/>
      <c r="U79" s="90"/>
      <c r="V79" s="90"/>
      <c r="W79" s="90"/>
      <c r="X79" s="90"/>
      <c r="Y79" s="90"/>
      <c r="Z79" s="90"/>
      <c r="AA79" s="90"/>
      <c r="AB79" s="90"/>
      <c r="AC79" s="90"/>
      <c r="AD79" s="90"/>
      <c r="AE79" s="90"/>
      <c r="AF79" s="90"/>
    </row>
    <row r="80" spans="2:32" ht="13">
      <c r="B80" s="207" t="s">
        <v>2</v>
      </c>
      <c r="C80" s="92"/>
      <c r="D80" s="31"/>
      <c r="E80" s="93"/>
      <c r="F80" s="15"/>
      <c r="G80" s="37"/>
      <c r="H80" s="94"/>
      <c r="I80" s="94"/>
      <c r="J80" s="94"/>
      <c r="K80" s="94"/>
      <c r="L80" s="94"/>
      <c r="M80" s="94"/>
      <c r="N80" s="94"/>
      <c r="O80" s="94"/>
      <c r="P80" s="94"/>
      <c r="Q80" s="94"/>
      <c r="R80" s="94"/>
      <c r="S80" s="94"/>
      <c r="T80" s="94"/>
      <c r="U80" s="94"/>
      <c r="V80" s="94"/>
      <c r="W80" s="94"/>
      <c r="X80" s="94"/>
      <c r="Y80" s="94"/>
      <c r="Z80" s="94"/>
      <c r="AA80" s="94"/>
      <c r="AB80" s="94"/>
      <c r="AC80" s="94"/>
      <c r="AD80" s="94"/>
      <c r="AE80" s="94"/>
      <c r="AF80" s="94"/>
    </row>
    <row r="81" spans="2:32" ht="13">
      <c r="B81" s="15" t="s">
        <v>4</v>
      </c>
      <c r="C81" s="15"/>
      <c r="D81" s="17" t="s">
        <v>15</v>
      </c>
      <c r="E81" s="15"/>
      <c r="F81" s="15"/>
      <c r="G81" s="37"/>
      <c r="H81" s="38">
        <f t="shared" ref="H81:AF81" si="85">IF(H65=1, H70, G83)</f>
        <v>688800</v>
      </c>
      <c r="I81" s="38">
        <f t="shared" ca="1" si="85"/>
        <v>688800</v>
      </c>
      <c r="J81" s="38">
        <f t="shared" ca="1" si="85"/>
        <v>612266.66666666663</v>
      </c>
      <c r="K81" s="38">
        <f t="shared" ca="1" si="85"/>
        <v>535733.33333333326</v>
      </c>
      <c r="L81" s="38">
        <f t="shared" ca="1" si="85"/>
        <v>459199.99999999994</v>
      </c>
      <c r="M81" s="38">
        <f t="shared" ca="1" si="85"/>
        <v>382666.66666666663</v>
      </c>
      <c r="N81" s="38">
        <f t="shared" ca="1" si="85"/>
        <v>306133.33333333331</v>
      </c>
      <c r="O81" s="38">
        <f t="shared" ca="1" si="85"/>
        <v>229600</v>
      </c>
      <c r="P81" s="38">
        <f t="shared" ca="1" si="85"/>
        <v>153066.66666666669</v>
      </c>
      <c r="Q81" s="38">
        <f t="shared" ca="1" si="85"/>
        <v>76533.333333333358</v>
      </c>
      <c r="R81" s="38">
        <f t="shared" ca="1" si="85"/>
        <v>0</v>
      </c>
      <c r="S81" s="38">
        <f t="shared" ca="1" si="85"/>
        <v>0</v>
      </c>
      <c r="T81" s="38">
        <f t="shared" ca="1" si="85"/>
        <v>0</v>
      </c>
      <c r="U81" s="38">
        <f t="shared" ca="1" si="85"/>
        <v>0</v>
      </c>
      <c r="V81" s="38">
        <f t="shared" ca="1" si="85"/>
        <v>0</v>
      </c>
      <c r="W81" s="38">
        <f t="shared" ca="1" si="85"/>
        <v>0</v>
      </c>
      <c r="X81" s="38">
        <f t="shared" ca="1" si="85"/>
        <v>0</v>
      </c>
      <c r="Y81" s="38">
        <f t="shared" ca="1" si="85"/>
        <v>0</v>
      </c>
      <c r="Z81" s="38">
        <f t="shared" ca="1" si="85"/>
        <v>0</v>
      </c>
      <c r="AA81" s="38">
        <f t="shared" ca="1" si="85"/>
        <v>0</v>
      </c>
      <c r="AB81" s="38">
        <f t="shared" ca="1" si="85"/>
        <v>0</v>
      </c>
      <c r="AC81" s="38">
        <f t="shared" ca="1" si="85"/>
        <v>0</v>
      </c>
      <c r="AD81" s="38">
        <f t="shared" ca="1" si="85"/>
        <v>0</v>
      </c>
      <c r="AE81" s="38">
        <f t="shared" ca="1" si="85"/>
        <v>0</v>
      </c>
      <c r="AF81" s="38">
        <f t="shared" ca="1" si="85"/>
        <v>0</v>
      </c>
    </row>
    <row r="82" spans="2:32" ht="13">
      <c r="B82" s="15" t="s">
        <v>5</v>
      </c>
      <c r="C82" s="15"/>
      <c r="D82" s="17" t="s">
        <v>15</v>
      </c>
      <c r="E82" s="15"/>
      <c r="F82" s="15"/>
      <c r="G82" s="37"/>
      <c r="H82" s="38">
        <f t="shared" ref="H82:AF82" ca="1" si="86">IF(H65&gt;Storage_moratorium, IF(H81&gt;0, OFFSET(H70,0,1-H65)/(Storage_loan_tenure-Storage_moratorium), 0), 0)</f>
        <v>0</v>
      </c>
      <c r="I82" s="38">
        <f t="shared" ca="1" si="86"/>
        <v>76533.333333333328</v>
      </c>
      <c r="J82" s="38">
        <f t="shared" ca="1" si="86"/>
        <v>76533.333333333328</v>
      </c>
      <c r="K82" s="38">
        <f t="shared" ca="1" si="86"/>
        <v>76533.333333333328</v>
      </c>
      <c r="L82" s="38">
        <f t="shared" ca="1" si="86"/>
        <v>76533.333333333328</v>
      </c>
      <c r="M82" s="38">
        <f t="shared" ca="1" si="86"/>
        <v>76533.333333333328</v>
      </c>
      <c r="N82" s="38">
        <f t="shared" ca="1" si="86"/>
        <v>76533.333333333328</v>
      </c>
      <c r="O82" s="38">
        <f t="shared" ca="1" si="86"/>
        <v>76533.333333333328</v>
      </c>
      <c r="P82" s="38">
        <f t="shared" ca="1" si="86"/>
        <v>76533.333333333328</v>
      </c>
      <c r="Q82" s="38">
        <f t="shared" ca="1" si="86"/>
        <v>76533.333333333328</v>
      </c>
      <c r="R82" s="38">
        <f t="shared" ca="1" si="86"/>
        <v>0</v>
      </c>
      <c r="S82" s="38">
        <f t="shared" ca="1" si="86"/>
        <v>0</v>
      </c>
      <c r="T82" s="38">
        <f t="shared" ca="1" si="86"/>
        <v>0</v>
      </c>
      <c r="U82" s="38">
        <f t="shared" ca="1" si="86"/>
        <v>0</v>
      </c>
      <c r="V82" s="38">
        <f t="shared" ca="1" si="86"/>
        <v>0</v>
      </c>
      <c r="W82" s="38">
        <f t="shared" ca="1" si="86"/>
        <v>0</v>
      </c>
      <c r="X82" s="38">
        <f t="shared" ca="1" si="86"/>
        <v>0</v>
      </c>
      <c r="Y82" s="38">
        <f t="shared" ca="1" si="86"/>
        <v>0</v>
      </c>
      <c r="Z82" s="38">
        <f t="shared" ca="1" si="86"/>
        <v>0</v>
      </c>
      <c r="AA82" s="38">
        <f t="shared" ca="1" si="86"/>
        <v>0</v>
      </c>
      <c r="AB82" s="38">
        <f t="shared" ca="1" si="86"/>
        <v>0</v>
      </c>
      <c r="AC82" s="38">
        <f t="shared" ca="1" si="86"/>
        <v>0</v>
      </c>
      <c r="AD82" s="38">
        <f t="shared" ca="1" si="86"/>
        <v>0</v>
      </c>
      <c r="AE82" s="38">
        <f t="shared" ca="1" si="86"/>
        <v>0</v>
      </c>
      <c r="AF82" s="38">
        <f t="shared" ca="1" si="86"/>
        <v>0</v>
      </c>
    </row>
    <row r="83" spans="2:32" ht="13">
      <c r="B83" s="15" t="s">
        <v>6</v>
      </c>
      <c r="C83" s="15"/>
      <c r="D83" s="17" t="s">
        <v>15</v>
      </c>
      <c r="E83" s="15"/>
      <c r="F83" s="15"/>
      <c r="G83" s="37"/>
      <c r="H83" s="38">
        <f ca="1">H81-H82</f>
        <v>688800</v>
      </c>
      <c r="I83" s="38">
        <f ca="1">I81-I82</f>
        <v>612266.66666666663</v>
      </c>
      <c r="J83" s="38">
        <f ca="1">J81-J82</f>
        <v>535733.33333333326</v>
      </c>
      <c r="K83" s="38">
        <f t="shared" ref="K83:AF83" ca="1" si="87">K81-K82</f>
        <v>459199.99999999994</v>
      </c>
      <c r="L83" s="38">
        <f t="shared" ca="1" si="87"/>
        <v>382666.66666666663</v>
      </c>
      <c r="M83" s="38">
        <f t="shared" ca="1" si="87"/>
        <v>306133.33333333331</v>
      </c>
      <c r="N83" s="38">
        <f t="shared" ca="1" si="87"/>
        <v>229600</v>
      </c>
      <c r="O83" s="38">
        <f t="shared" ca="1" si="87"/>
        <v>153066.66666666669</v>
      </c>
      <c r="P83" s="38">
        <f t="shared" ca="1" si="87"/>
        <v>76533.333333333358</v>
      </c>
      <c r="Q83" s="38">
        <f t="shared" ca="1" si="87"/>
        <v>0</v>
      </c>
      <c r="R83" s="38">
        <f t="shared" ca="1" si="87"/>
        <v>0</v>
      </c>
      <c r="S83" s="38">
        <f t="shared" ca="1" si="87"/>
        <v>0</v>
      </c>
      <c r="T83" s="38">
        <f t="shared" ca="1" si="87"/>
        <v>0</v>
      </c>
      <c r="U83" s="38">
        <f t="shared" ca="1" si="87"/>
        <v>0</v>
      </c>
      <c r="V83" s="38">
        <f t="shared" ca="1" si="87"/>
        <v>0</v>
      </c>
      <c r="W83" s="38">
        <f t="shared" ca="1" si="87"/>
        <v>0</v>
      </c>
      <c r="X83" s="38">
        <f t="shared" ca="1" si="87"/>
        <v>0</v>
      </c>
      <c r="Y83" s="38">
        <f t="shared" ca="1" si="87"/>
        <v>0</v>
      </c>
      <c r="Z83" s="38">
        <f t="shared" ca="1" si="87"/>
        <v>0</v>
      </c>
      <c r="AA83" s="38">
        <f t="shared" ca="1" si="87"/>
        <v>0</v>
      </c>
      <c r="AB83" s="38">
        <f t="shared" ca="1" si="87"/>
        <v>0</v>
      </c>
      <c r="AC83" s="38">
        <f t="shared" ca="1" si="87"/>
        <v>0</v>
      </c>
      <c r="AD83" s="38">
        <f t="shared" ca="1" si="87"/>
        <v>0</v>
      </c>
      <c r="AE83" s="38">
        <f t="shared" ca="1" si="87"/>
        <v>0</v>
      </c>
      <c r="AF83" s="38">
        <f t="shared" ca="1" si="87"/>
        <v>0</v>
      </c>
    </row>
    <row r="84" spans="2:32" ht="13">
      <c r="B84" s="62" t="s">
        <v>3</v>
      </c>
      <c r="C84" s="62"/>
      <c r="D84" s="17" t="s">
        <v>15</v>
      </c>
      <c r="E84" s="15"/>
      <c r="F84" s="46"/>
      <c r="G84" s="47"/>
      <c r="H84" s="90">
        <f t="shared" ref="H84:AF84" si="88">Storage_interest*H81</f>
        <v>72668.399999999994</v>
      </c>
      <c r="I84" s="90">
        <f t="shared" ca="1" si="88"/>
        <v>72668.399999999994</v>
      </c>
      <c r="J84" s="90">
        <f t="shared" ca="1" si="88"/>
        <v>64594.133333333324</v>
      </c>
      <c r="K84" s="90">
        <f t="shared" ca="1" si="88"/>
        <v>56519.866666666654</v>
      </c>
      <c r="L84" s="90">
        <f t="shared" ca="1" si="88"/>
        <v>48445.599999999991</v>
      </c>
      <c r="M84" s="90">
        <f t="shared" ca="1" si="88"/>
        <v>40371.333333333328</v>
      </c>
      <c r="N84" s="90">
        <f t="shared" ca="1" si="88"/>
        <v>32297.066666666662</v>
      </c>
      <c r="O84" s="90">
        <f t="shared" ca="1" si="88"/>
        <v>24222.799999999999</v>
      </c>
      <c r="P84" s="90">
        <f t="shared" ca="1" si="88"/>
        <v>16148.533333333335</v>
      </c>
      <c r="Q84" s="90">
        <f t="shared" ca="1" si="88"/>
        <v>8074.2666666666692</v>
      </c>
      <c r="R84" s="90">
        <f t="shared" ca="1" si="88"/>
        <v>0</v>
      </c>
      <c r="S84" s="90">
        <f t="shared" ca="1" si="88"/>
        <v>0</v>
      </c>
      <c r="T84" s="90">
        <f t="shared" ca="1" si="88"/>
        <v>0</v>
      </c>
      <c r="U84" s="90">
        <f t="shared" ca="1" si="88"/>
        <v>0</v>
      </c>
      <c r="V84" s="90">
        <f t="shared" ca="1" si="88"/>
        <v>0</v>
      </c>
      <c r="W84" s="90">
        <f t="shared" ca="1" si="88"/>
        <v>0</v>
      </c>
      <c r="X84" s="90">
        <f t="shared" ca="1" si="88"/>
        <v>0</v>
      </c>
      <c r="Y84" s="90">
        <f t="shared" ca="1" si="88"/>
        <v>0</v>
      </c>
      <c r="Z84" s="90">
        <f t="shared" ca="1" si="88"/>
        <v>0</v>
      </c>
      <c r="AA84" s="90">
        <f t="shared" ca="1" si="88"/>
        <v>0</v>
      </c>
      <c r="AB84" s="90">
        <f t="shared" ca="1" si="88"/>
        <v>0</v>
      </c>
      <c r="AC84" s="90">
        <f t="shared" ca="1" si="88"/>
        <v>0</v>
      </c>
      <c r="AD84" s="90">
        <f t="shared" ca="1" si="88"/>
        <v>0</v>
      </c>
      <c r="AE84" s="90">
        <f t="shared" ca="1" si="88"/>
        <v>0</v>
      </c>
      <c r="AF84" s="90">
        <f t="shared" ca="1" si="88"/>
        <v>0</v>
      </c>
    </row>
    <row r="85" spans="2:32" ht="13">
      <c r="B85" s="231" t="s">
        <v>16</v>
      </c>
      <c r="C85" s="95"/>
      <c r="D85" s="65" t="s">
        <v>15</v>
      </c>
      <c r="E85" s="15"/>
      <c r="F85" s="47"/>
      <c r="G85" s="47"/>
      <c r="H85" s="38">
        <f ca="1">H82+H84</f>
        <v>72668.399999999994</v>
      </c>
      <c r="I85" s="38">
        <f t="shared" ref="I85:AF85" ca="1" si="89">I82+I84</f>
        <v>149201.73333333334</v>
      </c>
      <c r="J85" s="38">
        <f t="shared" ca="1" si="89"/>
        <v>141127.46666666665</v>
      </c>
      <c r="K85" s="38">
        <f t="shared" ca="1" si="89"/>
        <v>133053.19999999998</v>
      </c>
      <c r="L85" s="38">
        <f t="shared" ca="1" si="89"/>
        <v>124978.93333333332</v>
      </c>
      <c r="M85" s="38">
        <f t="shared" ca="1" si="89"/>
        <v>116904.66666666666</v>
      </c>
      <c r="N85" s="38">
        <f t="shared" ca="1" si="89"/>
        <v>108830.39999999999</v>
      </c>
      <c r="O85" s="38">
        <f t="shared" ca="1" si="89"/>
        <v>100756.13333333333</v>
      </c>
      <c r="P85" s="38">
        <f t="shared" ca="1" si="89"/>
        <v>92681.866666666669</v>
      </c>
      <c r="Q85" s="38">
        <f t="shared" ca="1" si="89"/>
        <v>84607.599999999991</v>
      </c>
      <c r="R85" s="38">
        <f t="shared" ca="1" si="89"/>
        <v>0</v>
      </c>
      <c r="S85" s="38">
        <f t="shared" ca="1" si="89"/>
        <v>0</v>
      </c>
      <c r="T85" s="38">
        <f t="shared" ca="1" si="89"/>
        <v>0</v>
      </c>
      <c r="U85" s="38">
        <f t="shared" ca="1" si="89"/>
        <v>0</v>
      </c>
      <c r="V85" s="38">
        <f t="shared" ca="1" si="89"/>
        <v>0</v>
      </c>
      <c r="W85" s="38">
        <f t="shared" ca="1" si="89"/>
        <v>0</v>
      </c>
      <c r="X85" s="38">
        <f t="shared" ca="1" si="89"/>
        <v>0</v>
      </c>
      <c r="Y85" s="38">
        <f t="shared" ca="1" si="89"/>
        <v>0</v>
      </c>
      <c r="Z85" s="38">
        <f t="shared" ca="1" si="89"/>
        <v>0</v>
      </c>
      <c r="AA85" s="38">
        <f t="shared" ca="1" si="89"/>
        <v>0</v>
      </c>
      <c r="AB85" s="38">
        <f t="shared" ca="1" si="89"/>
        <v>0</v>
      </c>
      <c r="AC85" s="38">
        <f t="shared" ca="1" si="89"/>
        <v>0</v>
      </c>
      <c r="AD85" s="38">
        <f t="shared" ca="1" si="89"/>
        <v>0</v>
      </c>
      <c r="AE85" s="38">
        <f t="shared" ca="1" si="89"/>
        <v>0</v>
      </c>
      <c r="AF85" s="38">
        <f t="shared" ca="1" si="89"/>
        <v>0</v>
      </c>
    </row>
    <row r="86" spans="2:32" ht="13">
      <c r="B86" s="15"/>
      <c r="C86" s="15"/>
      <c r="D86" s="65"/>
      <c r="E86" s="15"/>
      <c r="F86" s="96"/>
      <c r="G86" s="96"/>
      <c r="H86" s="97"/>
      <c r="I86" s="97"/>
      <c r="J86" s="97"/>
      <c r="K86" s="97"/>
      <c r="L86" s="97"/>
      <c r="M86" s="97"/>
      <c r="N86" s="97"/>
      <c r="O86" s="97"/>
      <c r="P86" s="97"/>
      <c r="Q86" s="97"/>
      <c r="R86" s="97"/>
      <c r="S86" s="97"/>
      <c r="T86" s="97"/>
      <c r="U86" s="97"/>
      <c r="V86" s="97"/>
      <c r="W86" s="97"/>
      <c r="X86" s="97"/>
      <c r="Y86" s="97"/>
      <c r="Z86" s="97"/>
      <c r="AA86" s="97"/>
      <c r="AB86" s="97"/>
      <c r="AC86" s="97"/>
      <c r="AD86" s="97"/>
      <c r="AE86" s="97"/>
      <c r="AF86" s="97"/>
    </row>
    <row r="87" spans="2:32" ht="13">
      <c r="B87" s="207" t="s">
        <v>12</v>
      </c>
      <c r="C87" s="92"/>
      <c r="D87" s="31"/>
      <c r="E87" s="15"/>
      <c r="F87" s="98"/>
      <c r="G87" s="96"/>
      <c r="H87" s="38"/>
      <c r="I87" s="38"/>
      <c r="J87" s="38"/>
      <c r="K87" s="38"/>
      <c r="L87" s="38"/>
      <c r="M87" s="38"/>
      <c r="N87" s="38"/>
      <c r="O87" s="38"/>
      <c r="P87" s="38"/>
      <c r="Q87" s="38"/>
      <c r="R87" s="38"/>
      <c r="S87" s="38"/>
      <c r="T87" s="38"/>
      <c r="U87" s="38"/>
      <c r="V87" s="38"/>
      <c r="W87" s="38"/>
      <c r="X87" s="38"/>
      <c r="Y87" s="38"/>
      <c r="Z87" s="38"/>
      <c r="AA87" s="38"/>
      <c r="AB87" s="38"/>
      <c r="AC87" s="38"/>
      <c r="AD87" s="38"/>
      <c r="AE87" s="38"/>
      <c r="AF87" s="38"/>
    </row>
    <row r="88" spans="2:32" ht="13">
      <c r="B88" s="41" t="s">
        <v>173</v>
      </c>
      <c r="C88" s="15"/>
      <c r="D88" s="17" t="s">
        <v>15</v>
      </c>
      <c r="E88" s="15"/>
      <c r="F88" s="98"/>
      <c r="G88" s="96"/>
      <c r="H88" s="38">
        <f t="shared" ref="H88:AF88" si="90">H74/(12/Storage_workingcapital_OandM)</f>
        <v>1148</v>
      </c>
      <c r="I88" s="38">
        <f t="shared" si="90"/>
        <v>1213.6656</v>
      </c>
      <c r="J88" s="38">
        <f t="shared" si="90"/>
        <v>1283.08727232</v>
      </c>
      <c r="K88" s="38">
        <f t="shared" si="90"/>
        <v>1356.4798642967041</v>
      </c>
      <c r="L88" s="38">
        <f t="shared" si="90"/>
        <v>1434.0705125344755</v>
      </c>
      <c r="M88" s="38">
        <f t="shared" si="90"/>
        <v>1516.0993458514474</v>
      </c>
      <c r="N88" s="38">
        <f t="shared" si="90"/>
        <v>1602.8202284341503</v>
      </c>
      <c r="O88" s="38">
        <f t="shared" si="90"/>
        <v>1694.5015455005835</v>
      </c>
      <c r="P88" s="38">
        <f t="shared" si="90"/>
        <v>1791.4270339032171</v>
      </c>
      <c r="Q88" s="38">
        <f t="shared" si="90"/>
        <v>1893.8966602424809</v>
      </c>
      <c r="R88" s="38">
        <f t="shared" si="90"/>
        <v>2002.2275492083509</v>
      </c>
      <c r="S88" s="38">
        <f t="shared" si="90"/>
        <v>2116.7549650230685</v>
      </c>
      <c r="T88" s="38">
        <f t="shared" si="90"/>
        <v>2237.8333490223881</v>
      </c>
      <c r="U88" s="38">
        <f t="shared" si="90"/>
        <v>2365.8374165864684</v>
      </c>
      <c r="V88" s="38">
        <f t="shared" si="90"/>
        <v>2501.1633168152143</v>
      </c>
      <c r="W88" s="38">
        <f t="shared" si="90"/>
        <v>2644.2298585370449</v>
      </c>
      <c r="X88" s="38">
        <f t="shared" si="90"/>
        <v>2795.4798064453639</v>
      </c>
      <c r="Y88" s="38">
        <f t="shared" si="90"/>
        <v>2955.381251374039</v>
      </c>
      <c r="Z88" s="38">
        <f t="shared" si="90"/>
        <v>3124.429058952634</v>
      </c>
      <c r="AA88" s="38">
        <f t="shared" si="90"/>
        <v>3303.1464011247249</v>
      </c>
      <c r="AB88" s="38">
        <f t="shared" si="90"/>
        <v>3492.0863752690589</v>
      </c>
      <c r="AC88" s="38">
        <f t="shared" si="90"/>
        <v>3691.8337159344496</v>
      </c>
      <c r="AD88" s="38">
        <f t="shared" si="90"/>
        <v>3903.0066044859</v>
      </c>
      <c r="AE88" s="38">
        <f t="shared" si="90"/>
        <v>4126.2585822624933</v>
      </c>
      <c r="AF88" s="38">
        <f t="shared" si="90"/>
        <v>4362.2805731679082</v>
      </c>
    </row>
    <row r="89" spans="2:32" ht="13">
      <c r="B89" s="15" t="s">
        <v>172</v>
      </c>
      <c r="C89" s="15"/>
      <c r="D89" s="17" t="s">
        <v>15</v>
      </c>
      <c r="E89" s="15"/>
      <c r="F89" s="98"/>
      <c r="G89" s="96"/>
      <c r="H89" s="90">
        <f t="shared" ref="H89:AF89" si="91">H88*Storage_interest_workingcap</f>
        <v>132.59399999999999</v>
      </c>
      <c r="I89" s="90">
        <f t="shared" si="91"/>
        <v>140.17837680000002</v>
      </c>
      <c r="J89" s="90">
        <f t="shared" si="91"/>
        <v>148.19657995296001</v>
      </c>
      <c r="K89" s="90">
        <f t="shared" si="91"/>
        <v>156.67342432626933</v>
      </c>
      <c r="L89" s="90">
        <f t="shared" si="91"/>
        <v>165.63514419773193</v>
      </c>
      <c r="M89" s="90">
        <f t="shared" si="91"/>
        <v>175.10947444584218</v>
      </c>
      <c r="N89" s="90">
        <f t="shared" si="91"/>
        <v>185.12573638414437</v>
      </c>
      <c r="O89" s="90">
        <f t="shared" si="91"/>
        <v>195.7149285053174</v>
      </c>
      <c r="P89" s="90">
        <f t="shared" si="91"/>
        <v>206.90982241582159</v>
      </c>
      <c r="Q89" s="90">
        <f t="shared" si="91"/>
        <v>218.74506425800655</v>
      </c>
      <c r="R89" s="90">
        <f t="shared" si="91"/>
        <v>231.25728193356454</v>
      </c>
      <c r="S89" s="90">
        <f t="shared" si="91"/>
        <v>244.48519846016441</v>
      </c>
      <c r="T89" s="90">
        <f t="shared" si="91"/>
        <v>258.46975181208586</v>
      </c>
      <c r="U89" s="90">
        <f t="shared" si="91"/>
        <v>273.25422161573709</v>
      </c>
      <c r="V89" s="90">
        <f t="shared" si="91"/>
        <v>288.88436309215729</v>
      </c>
      <c r="W89" s="90">
        <f t="shared" si="91"/>
        <v>305.4085486610287</v>
      </c>
      <c r="X89" s="90">
        <f t="shared" si="91"/>
        <v>322.87791764443955</v>
      </c>
      <c r="Y89" s="90">
        <f t="shared" si="91"/>
        <v>341.34653453370152</v>
      </c>
      <c r="Z89" s="90">
        <f t="shared" si="91"/>
        <v>360.87155630902924</v>
      </c>
      <c r="AA89" s="90">
        <f t="shared" si="91"/>
        <v>381.51340932990576</v>
      </c>
      <c r="AB89" s="90">
        <f t="shared" si="91"/>
        <v>403.33597634357631</v>
      </c>
      <c r="AC89" s="90">
        <f t="shared" si="91"/>
        <v>426.40679419042897</v>
      </c>
      <c r="AD89" s="90">
        <f t="shared" si="91"/>
        <v>450.79726281812145</v>
      </c>
      <c r="AE89" s="90">
        <f t="shared" si="91"/>
        <v>476.58286625131802</v>
      </c>
      <c r="AF89" s="90">
        <f t="shared" si="91"/>
        <v>503.84340620089341</v>
      </c>
    </row>
    <row r="90" spans="2:32" ht="13">
      <c r="B90" s="15" t="s">
        <v>176</v>
      </c>
      <c r="C90" s="15"/>
      <c r="D90" s="17" t="s">
        <v>15</v>
      </c>
      <c r="E90" s="15"/>
      <c r="F90" s="15"/>
      <c r="G90" s="37"/>
      <c r="H90" s="38">
        <f t="shared" ref="H90:AF90" ca="1" si="92">IF(Storage_workingcapital_receivables&gt;0, (H74+H75+H72+H76+H78+H89)/(12/Storage_workingcapital_receivables),0)</f>
        <v>29271.498999999996</v>
      </c>
      <c r="I90" s="38">
        <f t="shared" ca="1" si="92"/>
        <v>29384.463462799995</v>
      </c>
      <c r="J90" s="38">
        <f t="shared" ca="1" si="92"/>
        <v>28159.301263521047</v>
      </c>
      <c r="K90" s="38">
        <f t="shared" ca="1" si="92"/>
        <v>26942.157343758896</v>
      </c>
      <c r="L90" s="38">
        <f t="shared" ca="1" si="92"/>
        <v>25733.490349101903</v>
      </c>
      <c r="M90" s="38">
        <f t="shared" ca="1" si="92"/>
        <v>24533.785159666088</v>
      </c>
      <c r="N90" s="38">
        <f t="shared" ca="1" si="92"/>
        <v>23343.554390710106</v>
      </c>
      <c r="O90" s="38">
        <f t="shared" ca="1" si="92"/>
        <v>22163.339979085387</v>
      </c>
      <c r="P90" s="38">
        <f t="shared" ca="1" si="92"/>
        <v>20993.714860431293</v>
      </c>
      <c r="Q90" s="38">
        <f t="shared" ca="1" si="92"/>
        <v>19835.284742305739</v>
      </c>
      <c r="R90" s="38">
        <f t="shared" ca="1" si="92"/>
        <v>18688.689978738959</v>
      </c>
      <c r="S90" s="38">
        <f t="shared" ca="1" si="92"/>
        <v>18900.318663122831</v>
      </c>
      <c r="T90" s="38">
        <f t="shared" ca="1" si="92"/>
        <v>19125.175390013454</v>
      </c>
      <c r="U90" s="38">
        <f t="shared" ca="1" si="92"/>
        <v>19364.016803442224</v>
      </c>
      <c r="V90" s="38">
        <f t="shared" ca="1" si="92"/>
        <v>19617.642827479121</v>
      </c>
      <c r="W90" s="38">
        <f t="shared" ca="1" si="92"/>
        <v>19886.899141850925</v>
      </c>
      <c r="X90" s="38">
        <f t="shared" ca="1" si="92"/>
        <v>20172.679799164802</v>
      </c>
      <c r="Y90" s="38">
        <f t="shared" ca="1" si="92"/>
        <v>20475.929991837027</v>
      </c>
      <c r="Z90" s="38">
        <f t="shared" ca="1" si="92"/>
        <v>20797.648977290104</v>
      </c>
      <c r="AA90" s="38">
        <f t="shared" ca="1" si="92"/>
        <v>21138.893170471099</v>
      </c>
      <c r="AB90" s="38">
        <f t="shared" ca="1" si="92"/>
        <v>21500.779413262044</v>
      </c>
      <c r="AC90" s="38">
        <f t="shared" ca="1" si="92"/>
        <v>21884.488430900634</v>
      </c>
      <c r="AD90" s="38">
        <f t="shared" ca="1" si="92"/>
        <v>22291.268486108151</v>
      </c>
      <c r="AE90" s="38">
        <f t="shared" ca="1" si="92"/>
        <v>22722.439242233537</v>
      </c>
      <c r="AF90" s="38">
        <f t="shared" ca="1" si="92"/>
        <v>23179.395847369302</v>
      </c>
    </row>
    <row r="91" spans="2:32" ht="13">
      <c r="B91" s="15" t="s">
        <v>177</v>
      </c>
      <c r="C91" s="59"/>
      <c r="D91" s="65" t="s">
        <v>15</v>
      </c>
      <c r="E91" s="15"/>
      <c r="F91" s="45"/>
      <c r="G91" s="45"/>
      <c r="H91" s="89">
        <f t="shared" ref="H91:AF91" ca="1" si="93">H90*Storage_interest_workingcap</f>
        <v>3380.8581344999998</v>
      </c>
      <c r="I91" s="89">
        <f t="shared" ca="1" si="93"/>
        <v>3393.9055299533998</v>
      </c>
      <c r="J91" s="89">
        <f t="shared" ca="1" si="93"/>
        <v>3252.399295936681</v>
      </c>
      <c r="K91" s="89">
        <f t="shared" ca="1" si="93"/>
        <v>3111.8191732041528</v>
      </c>
      <c r="L91" s="89">
        <f t="shared" ca="1" si="93"/>
        <v>2972.21813532127</v>
      </c>
      <c r="M91" s="89">
        <f t="shared" ca="1" si="93"/>
        <v>2833.6521859414333</v>
      </c>
      <c r="N91" s="89">
        <f t="shared" ca="1" si="93"/>
        <v>2696.1805321270172</v>
      </c>
      <c r="O91" s="89">
        <f t="shared" ca="1" si="93"/>
        <v>2559.8657675843624</v>
      </c>
      <c r="P91" s="89">
        <f t="shared" ca="1" si="93"/>
        <v>2424.7740663798145</v>
      </c>
      <c r="Q91" s="89">
        <f t="shared" ca="1" si="93"/>
        <v>2290.9753877363128</v>
      </c>
      <c r="R91" s="89">
        <f t="shared" ca="1" si="93"/>
        <v>2158.5436925443501</v>
      </c>
      <c r="S91" s="89">
        <f t="shared" ca="1" si="93"/>
        <v>2182.9868055906873</v>
      </c>
      <c r="T91" s="89">
        <f t="shared" ca="1" si="93"/>
        <v>2208.9577575465541</v>
      </c>
      <c r="U91" s="89">
        <f t="shared" ca="1" si="93"/>
        <v>2236.5439407975769</v>
      </c>
      <c r="V91" s="89">
        <f t="shared" ca="1" si="93"/>
        <v>2265.8377465738386</v>
      </c>
      <c r="W91" s="89">
        <f t="shared" ca="1" si="93"/>
        <v>2296.936850883782</v>
      </c>
      <c r="X91" s="89">
        <f t="shared" ca="1" si="93"/>
        <v>2329.9445168035345</v>
      </c>
      <c r="Y91" s="89">
        <f t="shared" ca="1" si="93"/>
        <v>2364.9699140571765</v>
      </c>
      <c r="Z91" s="89">
        <f t="shared" ca="1" si="93"/>
        <v>2402.128456877007</v>
      </c>
      <c r="AA91" s="89">
        <f t="shared" ca="1" si="93"/>
        <v>2441.5421611894121</v>
      </c>
      <c r="AB91" s="89">
        <f t="shared" ca="1" si="93"/>
        <v>2483.3400222317664</v>
      </c>
      <c r="AC91" s="89">
        <f t="shared" ca="1" si="93"/>
        <v>2527.6584137690234</v>
      </c>
      <c r="AD91" s="89">
        <f t="shared" ca="1" si="93"/>
        <v>2574.6415101454913</v>
      </c>
      <c r="AE91" s="89">
        <f t="shared" ca="1" si="93"/>
        <v>2624.4417324779738</v>
      </c>
      <c r="AF91" s="89">
        <f t="shared" ca="1" si="93"/>
        <v>2677.2202203711545</v>
      </c>
    </row>
    <row r="92" spans="2:32" ht="13">
      <c r="B92" s="39"/>
      <c r="C92" s="15"/>
      <c r="D92" s="40"/>
      <c r="E92" s="41"/>
      <c r="F92" s="41"/>
      <c r="G92" s="42"/>
      <c r="H92" s="43"/>
      <c r="I92" s="89"/>
      <c r="J92" s="89"/>
      <c r="K92" s="89"/>
      <c r="L92" s="89"/>
      <c r="M92" s="89"/>
      <c r="N92" s="89"/>
      <c r="O92" s="89"/>
      <c r="P92" s="89"/>
      <c r="Q92" s="89"/>
      <c r="R92" s="89"/>
      <c r="S92" s="89"/>
      <c r="T92" s="89"/>
      <c r="U92" s="89"/>
      <c r="V92" s="89"/>
      <c r="W92" s="89"/>
      <c r="X92" s="89"/>
      <c r="Y92" s="89"/>
      <c r="Z92" s="89"/>
      <c r="AA92" s="89"/>
      <c r="AB92" s="89"/>
      <c r="AC92" s="89"/>
      <c r="AD92" s="89"/>
      <c r="AE92" s="89"/>
      <c r="AF92" s="89"/>
    </row>
    <row r="93" spans="2:32" ht="14.5">
      <c r="B93" s="205" t="s">
        <v>17</v>
      </c>
      <c r="C93" s="29"/>
      <c r="D93" s="30"/>
      <c r="E93" s="31"/>
      <c r="F93" s="32"/>
      <c r="G93" s="33"/>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row>
    <row r="94" spans="2:32" ht="13">
      <c r="B94" s="15" t="s">
        <v>121</v>
      </c>
      <c r="C94" s="15"/>
      <c r="D94" s="17" t="s">
        <v>29</v>
      </c>
      <c r="E94" s="15"/>
      <c r="F94" s="15"/>
      <c r="G94" s="37"/>
      <c r="H94" s="38">
        <f t="shared" ref="H94:AF94" si="94">SolarPV_size*24*365*SolarPV_CUF*(1-Storage_solarPV_degradation)^(H3-1)</f>
        <v>39945.599999999999</v>
      </c>
      <c r="I94" s="38">
        <f t="shared" si="94"/>
        <v>39146.687999999995</v>
      </c>
      <c r="J94" s="38">
        <f t="shared" si="94"/>
        <v>38363.754239999995</v>
      </c>
      <c r="K94" s="38">
        <f t="shared" si="94"/>
        <v>37596.479155199995</v>
      </c>
      <c r="L94" s="38">
        <f t="shared" si="94"/>
        <v>36844.549572095995</v>
      </c>
      <c r="M94" s="38">
        <f t="shared" si="94"/>
        <v>36107.658580654068</v>
      </c>
      <c r="N94" s="38">
        <f t="shared" si="94"/>
        <v>35385.50540904099</v>
      </c>
      <c r="O94" s="38">
        <f t="shared" si="94"/>
        <v>34677.795300860169</v>
      </c>
      <c r="P94" s="38">
        <f t="shared" si="94"/>
        <v>33984.239394842967</v>
      </c>
      <c r="Q94" s="38">
        <f t="shared" si="94"/>
        <v>33304.554606946105</v>
      </c>
      <c r="R94" s="38">
        <f t="shared" si="94"/>
        <v>32638.463514807179</v>
      </c>
      <c r="S94" s="38">
        <f t="shared" si="94"/>
        <v>31985.694244511036</v>
      </c>
      <c r="T94" s="38">
        <f t="shared" si="94"/>
        <v>31345.980359620815</v>
      </c>
      <c r="U94" s="38">
        <f t="shared" si="94"/>
        <v>30719.060752428395</v>
      </c>
      <c r="V94" s="38">
        <f t="shared" si="94"/>
        <v>30104.679537379827</v>
      </c>
      <c r="W94" s="38">
        <f t="shared" si="94"/>
        <v>29502.585946632229</v>
      </c>
      <c r="X94" s="38">
        <f t="shared" si="94"/>
        <v>28912.534227699587</v>
      </c>
      <c r="Y94" s="38">
        <f t="shared" si="94"/>
        <v>28334.283543145593</v>
      </c>
      <c r="Z94" s="38">
        <f t="shared" si="94"/>
        <v>27767.59787228268</v>
      </c>
      <c r="AA94" s="38">
        <f t="shared" si="94"/>
        <v>27212.245914837025</v>
      </c>
      <c r="AB94" s="38">
        <f t="shared" si="94"/>
        <v>26668.000996540286</v>
      </c>
      <c r="AC94" s="38">
        <f t="shared" si="94"/>
        <v>26134.64097660948</v>
      </c>
      <c r="AD94" s="38">
        <f t="shared" si="94"/>
        <v>25611.948157077288</v>
      </c>
      <c r="AE94" s="38">
        <f t="shared" si="94"/>
        <v>25099.709193935741</v>
      </c>
      <c r="AF94" s="38">
        <f t="shared" si="94"/>
        <v>24597.715010057025</v>
      </c>
    </row>
    <row r="95" spans="2:32" ht="13">
      <c r="B95" s="15" t="s">
        <v>119</v>
      </c>
      <c r="C95" s="15"/>
      <c r="D95" s="17" t="s">
        <v>29</v>
      </c>
      <c r="E95" s="15"/>
      <c r="F95" s="15"/>
      <c r="G95" s="37"/>
      <c r="H95" s="38">
        <f t="shared" ref="H95:AF95" si="95">Storage_capacity*Storage_annual_cycles*(1-Storage_cycle_degradation)^((H7-1)*Storage_annual_cycles)*(1-Storage_time_degradation)^(H7-1)</f>
        <v>17520</v>
      </c>
      <c r="I95" s="38">
        <f t="shared" si="95"/>
        <v>16874.715002718418</v>
      </c>
      <c r="J95" s="38">
        <f t="shared" si="95"/>
        <v>16253.19671363984</v>
      </c>
      <c r="K95" s="38">
        <f t="shared" si="95"/>
        <v>15654.569773161638</v>
      </c>
      <c r="L95" s="38">
        <f t="shared" si="95"/>
        <v>15077.991062344345</v>
      </c>
      <c r="M95" s="38">
        <f t="shared" si="95"/>
        <v>14522.648515444993</v>
      </c>
      <c r="N95" s="38">
        <f t="shared" si="95"/>
        <v>13987.759976186413</v>
      </c>
      <c r="O95" s="38">
        <f t="shared" si="95"/>
        <v>13472.572096151662</v>
      </c>
      <c r="P95" s="38">
        <f t="shared" si="95"/>
        <v>12976.35927375205</v>
      </c>
      <c r="Q95" s="38">
        <f t="shared" si="95"/>
        <v>12498.422632274427</v>
      </c>
      <c r="R95" s="38">
        <f t="shared" si="95"/>
        <v>12038.089035568302</v>
      </c>
      <c r="S95" s="38">
        <f t="shared" si="95"/>
        <v>17520</v>
      </c>
      <c r="T95" s="38">
        <f t="shared" si="95"/>
        <v>16874.715002718418</v>
      </c>
      <c r="U95" s="38">
        <f t="shared" si="95"/>
        <v>16253.19671363984</v>
      </c>
      <c r="V95" s="38">
        <f t="shared" si="95"/>
        <v>15654.569773161638</v>
      </c>
      <c r="W95" s="38">
        <f t="shared" si="95"/>
        <v>15077.991062344345</v>
      </c>
      <c r="X95" s="38">
        <f t="shared" si="95"/>
        <v>14522.648515444993</v>
      </c>
      <c r="Y95" s="38">
        <f t="shared" si="95"/>
        <v>13987.759976186413</v>
      </c>
      <c r="Z95" s="38">
        <f t="shared" si="95"/>
        <v>13472.572096151662</v>
      </c>
      <c r="AA95" s="38">
        <f t="shared" si="95"/>
        <v>12976.35927375205</v>
      </c>
      <c r="AB95" s="38">
        <f t="shared" si="95"/>
        <v>12498.422632274427</v>
      </c>
      <c r="AC95" s="38">
        <f t="shared" si="95"/>
        <v>12038.089035568302</v>
      </c>
      <c r="AD95" s="38">
        <f t="shared" si="95"/>
        <v>17520</v>
      </c>
      <c r="AE95" s="38">
        <f t="shared" si="95"/>
        <v>16874.715002718418</v>
      </c>
      <c r="AF95" s="38">
        <f t="shared" si="95"/>
        <v>16253.19671363984</v>
      </c>
    </row>
    <row r="96" spans="2:32" ht="13">
      <c r="B96" s="39" t="s">
        <v>120</v>
      </c>
      <c r="C96" s="39"/>
      <c r="D96" s="17" t="s">
        <v>29</v>
      </c>
      <c r="E96" s="15"/>
      <c r="F96" s="15"/>
      <c r="G96" s="37"/>
      <c r="H96" s="38">
        <f t="shared" ref="H96:AF96" si="96">H95*Storage_roundtripefficiency</f>
        <v>16994.399999999998</v>
      </c>
      <c r="I96" s="38">
        <f t="shared" si="96"/>
        <v>16368.473552636866</v>
      </c>
      <c r="J96" s="38">
        <f t="shared" si="96"/>
        <v>15765.600812230645</v>
      </c>
      <c r="K96" s="38">
        <f t="shared" si="96"/>
        <v>15184.932679966789</v>
      </c>
      <c r="L96" s="38">
        <f t="shared" si="96"/>
        <v>14625.651330474015</v>
      </c>
      <c r="M96" s="38">
        <f t="shared" si="96"/>
        <v>14086.969059981642</v>
      </c>
      <c r="N96" s="38">
        <f t="shared" si="96"/>
        <v>13568.12717690082</v>
      </c>
      <c r="O96" s="38">
        <f t="shared" si="96"/>
        <v>13068.394933267111</v>
      </c>
      <c r="P96" s="38">
        <f t="shared" si="96"/>
        <v>12587.068495539488</v>
      </c>
      <c r="Q96" s="38">
        <f t="shared" si="96"/>
        <v>12123.469953306194</v>
      </c>
      <c r="R96" s="38">
        <f t="shared" si="96"/>
        <v>11676.946364501253</v>
      </c>
      <c r="S96" s="38">
        <f t="shared" si="96"/>
        <v>16994.399999999998</v>
      </c>
      <c r="T96" s="38">
        <f t="shared" si="96"/>
        <v>16368.473552636866</v>
      </c>
      <c r="U96" s="38">
        <f t="shared" si="96"/>
        <v>15765.600812230645</v>
      </c>
      <c r="V96" s="38">
        <f t="shared" si="96"/>
        <v>15184.932679966789</v>
      </c>
      <c r="W96" s="38">
        <f t="shared" si="96"/>
        <v>14625.651330474015</v>
      </c>
      <c r="X96" s="38">
        <f t="shared" si="96"/>
        <v>14086.969059981642</v>
      </c>
      <c r="Y96" s="38">
        <f t="shared" si="96"/>
        <v>13568.12717690082</v>
      </c>
      <c r="Z96" s="38">
        <f t="shared" si="96"/>
        <v>13068.394933267111</v>
      </c>
      <c r="AA96" s="38">
        <f t="shared" si="96"/>
        <v>12587.068495539488</v>
      </c>
      <c r="AB96" s="38">
        <f t="shared" si="96"/>
        <v>12123.469953306194</v>
      </c>
      <c r="AC96" s="38">
        <f t="shared" si="96"/>
        <v>11676.946364501253</v>
      </c>
      <c r="AD96" s="38">
        <f t="shared" si="96"/>
        <v>16994.399999999998</v>
      </c>
      <c r="AE96" s="38">
        <f t="shared" si="96"/>
        <v>16368.473552636866</v>
      </c>
      <c r="AF96" s="38">
        <f t="shared" si="96"/>
        <v>15765.600812230645</v>
      </c>
    </row>
    <row r="97" spans="2:32" s="23" customFormat="1" ht="13">
      <c r="B97" s="15" t="s">
        <v>19</v>
      </c>
      <c r="C97" s="15"/>
      <c r="D97" s="40" t="s">
        <v>15</v>
      </c>
      <c r="E97" s="41"/>
      <c r="F97" s="41"/>
      <c r="G97" s="42"/>
      <c r="H97" s="43">
        <f t="shared" ref="H97:AF97" si="97">H16+H44+H74</f>
        <v>23250.720000000001</v>
      </c>
      <c r="I97" s="43">
        <f t="shared" si="97"/>
        <v>24580.661183999997</v>
      </c>
      <c r="J97" s="43">
        <f t="shared" si="97"/>
        <v>25986.675003724798</v>
      </c>
      <c r="K97" s="43">
        <f t="shared" si="97"/>
        <v>27473.112813937856</v>
      </c>
      <c r="L97" s="43">
        <f t="shared" si="97"/>
        <v>29044.574866895102</v>
      </c>
      <c r="M97" s="43">
        <f t="shared" si="97"/>
        <v>30705.924549281503</v>
      </c>
      <c r="N97" s="43">
        <f t="shared" si="97"/>
        <v>32462.303433500405</v>
      </c>
      <c r="O97" s="43">
        <f t="shared" si="97"/>
        <v>34319.147189896627</v>
      </c>
      <c r="P97" s="43">
        <f t="shared" si="97"/>
        <v>36282.202409158715</v>
      </c>
      <c r="Q97" s="43">
        <f t="shared" si="97"/>
        <v>38357.544386962596</v>
      </c>
      <c r="R97" s="43">
        <f t="shared" si="97"/>
        <v>40551.595925896851</v>
      </c>
      <c r="S97" s="43">
        <f t="shared" si="97"/>
        <v>32984.251284157799</v>
      </c>
      <c r="T97" s="43">
        <f t="shared" si="97"/>
        <v>34870.950457611623</v>
      </c>
      <c r="U97" s="43">
        <f t="shared" si="97"/>
        <v>33359.567256010421</v>
      </c>
      <c r="V97" s="43">
        <f t="shared" si="97"/>
        <v>35267.73450305422</v>
      </c>
      <c r="W97" s="43">
        <f t="shared" si="97"/>
        <v>37285.048916628919</v>
      </c>
      <c r="X97" s="43">
        <f t="shared" si="97"/>
        <v>39417.753714660095</v>
      </c>
      <c r="Y97" s="43">
        <f t="shared" si="97"/>
        <v>41672.449227138655</v>
      </c>
      <c r="Z97" s="43">
        <f t="shared" si="97"/>
        <v>44056.113322930993</v>
      </c>
      <c r="AA97" s="43">
        <f t="shared" si="97"/>
        <v>46576.123005002642</v>
      </c>
      <c r="AB97" s="43">
        <f t="shared" si="97"/>
        <v>49240.27724088879</v>
      </c>
      <c r="AC97" s="43">
        <f t="shared" si="97"/>
        <v>52056.821099067631</v>
      </c>
      <c r="AD97" s="43">
        <f t="shared" si="97"/>
        <v>51538.782394331349</v>
      </c>
      <c r="AE97" s="43">
        <f t="shared" si="97"/>
        <v>54486.800747287096</v>
      </c>
      <c r="AF97" s="43">
        <f t="shared" si="97"/>
        <v>57603.445750031919</v>
      </c>
    </row>
    <row r="98" spans="2:32" s="23" customFormat="1" ht="13">
      <c r="B98" s="15" t="s">
        <v>31</v>
      </c>
      <c r="C98" s="15"/>
      <c r="D98" s="40" t="s">
        <v>15</v>
      </c>
      <c r="E98" s="41"/>
      <c r="F98" s="41"/>
      <c r="G98" s="42"/>
      <c r="H98" s="43">
        <f t="shared" ref="H98:AF98" si="98">H17+H45+H75</f>
        <v>7925.4</v>
      </c>
      <c r="I98" s="43">
        <f t="shared" si="98"/>
        <v>7469.3329552447558</v>
      </c>
      <c r="J98" s="43">
        <f t="shared" si="98"/>
        <v>7013.2659104895101</v>
      </c>
      <c r="K98" s="43">
        <f t="shared" si="98"/>
        <v>6557.1988657342645</v>
      </c>
      <c r="L98" s="43">
        <f t="shared" si="98"/>
        <v>6101.1318209790206</v>
      </c>
      <c r="M98" s="43">
        <f t="shared" si="98"/>
        <v>5645.064776223775</v>
      </c>
      <c r="N98" s="43">
        <f t="shared" si="98"/>
        <v>5188.9977314685302</v>
      </c>
      <c r="O98" s="43">
        <f t="shared" si="98"/>
        <v>4732.9306867132855</v>
      </c>
      <c r="P98" s="43">
        <f t="shared" si="98"/>
        <v>4276.8636419580407</v>
      </c>
      <c r="Q98" s="43">
        <f t="shared" si="98"/>
        <v>3820.7965972027951</v>
      </c>
      <c r="R98" s="43">
        <f t="shared" si="98"/>
        <v>3364.7295524475503</v>
      </c>
      <c r="S98" s="43">
        <f t="shared" si="98"/>
        <v>4006.0595076923059</v>
      </c>
      <c r="T98" s="43">
        <f t="shared" si="98"/>
        <v>3706.6906447552428</v>
      </c>
      <c r="U98" s="43">
        <f t="shared" si="98"/>
        <v>3789.5217818181791</v>
      </c>
      <c r="V98" s="43">
        <f t="shared" si="98"/>
        <v>3512.2513804195778</v>
      </c>
      <c r="W98" s="43">
        <f t="shared" si="98"/>
        <v>3234.9809790209765</v>
      </c>
      <c r="X98" s="43">
        <f t="shared" si="98"/>
        <v>2957.7105776223752</v>
      </c>
      <c r="Y98" s="43">
        <f t="shared" si="98"/>
        <v>2680.440176223774</v>
      </c>
      <c r="Z98" s="43">
        <f t="shared" si="98"/>
        <v>2403.1697748251727</v>
      </c>
      <c r="AA98" s="43">
        <f t="shared" si="98"/>
        <v>2125.8993734265714</v>
      </c>
      <c r="AB98" s="43">
        <f t="shared" si="98"/>
        <v>1848.6289720279701</v>
      </c>
      <c r="AC98" s="43">
        <f t="shared" si="98"/>
        <v>1571.3585706293686</v>
      </c>
      <c r="AD98" s="43">
        <f t="shared" si="98"/>
        <v>2256.1688055944032</v>
      </c>
      <c r="AE98" s="43">
        <f t="shared" si="98"/>
        <v>2012.1374124602651</v>
      </c>
      <c r="AF98" s="43">
        <f t="shared" si="98"/>
        <v>1768.1060193261264</v>
      </c>
    </row>
    <row r="99" spans="2:32" ht="13">
      <c r="B99" s="41" t="s">
        <v>180</v>
      </c>
      <c r="C99" s="41"/>
      <c r="D99" s="40" t="s">
        <v>15</v>
      </c>
      <c r="E99" s="41"/>
      <c r="F99" s="44"/>
      <c r="G99" s="45"/>
      <c r="H99" s="43">
        <f>H14+H42+H72</f>
        <v>130304.86993006992</v>
      </c>
      <c r="I99" s="43">
        <f t="shared" ref="I99:AF99" si="99">I14+I42+I72</f>
        <v>130304.86993006992</v>
      </c>
      <c r="J99" s="43">
        <f t="shared" si="99"/>
        <v>130304.86993006992</v>
      </c>
      <c r="K99" s="43">
        <f t="shared" si="99"/>
        <v>130304.86993006992</v>
      </c>
      <c r="L99" s="43">
        <f t="shared" si="99"/>
        <v>130304.86993006992</v>
      </c>
      <c r="M99" s="43">
        <f t="shared" si="99"/>
        <v>130304.86993006992</v>
      </c>
      <c r="N99" s="43">
        <f t="shared" si="99"/>
        <v>130304.86993006992</v>
      </c>
      <c r="O99" s="43">
        <f t="shared" si="99"/>
        <v>130304.86993006992</v>
      </c>
      <c r="P99" s="43">
        <f t="shared" si="99"/>
        <v>130304.86993006992</v>
      </c>
      <c r="Q99" s="43">
        <f t="shared" si="99"/>
        <v>130304.86993006992</v>
      </c>
      <c r="R99" s="43">
        <f t="shared" si="99"/>
        <v>130304.86993006992</v>
      </c>
      <c r="S99" s="43">
        <f t="shared" si="99"/>
        <v>85533.960839160834</v>
      </c>
      <c r="T99" s="43">
        <f t="shared" si="99"/>
        <v>85533.960839160834</v>
      </c>
      <c r="U99" s="43">
        <f t="shared" si="99"/>
        <v>79220.114685314678</v>
      </c>
      <c r="V99" s="43">
        <f t="shared" si="99"/>
        <v>79220.114685314678</v>
      </c>
      <c r="W99" s="43">
        <f t="shared" si="99"/>
        <v>79220.114685314678</v>
      </c>
      <c r="X99" s="43">
        <f t="shared" si="99"/>
        <v>79220.114685314678</v>
      </c>
      <c r="Y99" s="43">
        <f t="shared" si="99"/>
        <v>79220.114685314678</v>
      </c>
      <c r="Z99" s="43">
        <f t="shared" si="99"/>
        <v>79220.114685314678</v>
      </c>
      <c r="AA99" s="43">
        <f t="shared" si="99"/>
        <v>79220.114685314678</v>
      </c>
      <c r="AB99" s="43">
        <f t="shared" si="99"/>
        <v>79220.114685314678</v>
      </c>
      <c r="AC99" s="43">
        <f t="shared" si="99"/>
        <v>79220.114685314678</v>
      </c>
      <c r="AD99" s="43">
        <f t="shared" si="99"/>
        <v>69723.255181182438</v>
      </c>
      <c r="AE99" s="43">
        <f t="shared" si="99"/>
        <v>69723.255181182438</v>
      </c>
      <c r="AF99" s="43">
        <f t="shared" si="99"/>
        <v>69723.255181182438</v>
      </c>
    </row>
    <row r="100" spans="2:32" ht="13">
      <c r="B100" s="41" t="s">
        <v>187</v>
      </c>
      <c r="C100" s="41"/>
      <c r="D100" s="40" t="s">
        <v>15</v>
      </c>
      <c r="E100" s="41"/>
      <c r="F100" s="41"/>
      <c r="G100" s="42"/>
      <c r="H100" s="43">
        <f t="shared" ref="H100:AF100" si="100">H18+H46+H76</f>
        <v>167225.94</v>
      </c>
      <c r="I100" s="43">
        <f t="shared" ca="1" si="100"/>
        <v>167225.94</v>
      </c>
      <c r="J100" s="43">
        <f t="shared" ca="1" si="100"/>
        <v>149498.986</v>
      </c>
      <c r="K100" s="43">
        <f t="shared" ca="1" si="100"/>
        <v>131772.03199999998</v>
      </c>
      <c r="L100" s="43">
        <f t="shared" ca="1" si="100"/>
        <v>114045.07799999999</v>
      </c>
      <c r="M100" s="43">
        <f t="shared" ca="1" si="100"/>
        <v>96318.123999999982</v>
      </c>
      <c r="N100" s="43">
        <f t="shared" ca="1" si="100"/>
        <v>78591.17</v>
      </c>
      <c r="O100" s="43">
        <f t="shared" ca="1" si="100"/>
        <v>60864.216</v>
      </c>
      <c r="P100" s="43">
        <f t="shared" ca="1" si="100"/>
        <v>43137.261999999995</v>
      </c>
      <c r="Q100" s="43">
        <f t="shared" ca="1" si="100"/>
        <v>25410.308000000001</v>
      </c>
      <c r="R100" s="43">
        <f t="shared" ca="1" si="100"/>
        <v>7683.3539999999994</v>
      </c>
      <c r="S100" s="43">
        <f t="shared" ca="1" si="100"/>
        <v>34295.94</v>
      </c>
      <c r="T100" s="43">
        <f t="shared" ca="1" si="100"/>
        <v>34295.94</v>
      </c>
      <c r="U100" s="43">
        <f t="shared" ca="1" si="100"/>
        <v>41500.745999999999</v>
      </c>
      <c r="V100" s="43">
        <f t="shared" ca="1" si="100"/>
        <v>38071.152000000002</v>
      </c>
      <c r="W100" s="43">
        <f t="shared" ca="1" si="100"/>
        <v>33459.957999999999</v>
      </c>
      <c r="X100" s="43">
        <f t="shared" ca="1" si="100"/>
        <v>28848.763999999996</v>
      </c>
      <c r="Y100" s="43">
        <f t="shared" ca="1" si="100"/>
        <v>24237.57</v>
      </c>
      <c r="Z100" s="43">
        <f t="shared" ca="1" si="100"/>
        <v>19626.376</v>
      </c>
      <c r="AA100" s="43">
        <f t="shared" ca="1" si="100"/>
        <v>15015.181999999999</v>
      </c>
      <c r="AB100" s="43">
        <f t="shared" ca="1" si="100"/>
        <v>10403.987999999999</v>
      </c>
      <c r="AC100" s="43">
        <f t="shared" ca="1" si="100"/>
        <v>5792.7939999999999</v>
      </c>
      <c r="AD100" s="43">
        <f t="shared" ca="1" si="100"/>
        <v>26454.41272727272</v>
      </c>
      <c r="AE100" s="43">
        <f t="shared" ca="1" si="100"/>
        <v>25272.812727272722</v>
      </c>
      <c r="AF100" s="43">
        <f t="shared" ca="1" si="100"/>
        <v>22745.531454545449</v>
      </c>
    </row>
    <row r="101" spans="2:32" ht="13">
      <c r="B101" s="41" t="s">
        <v>188</v>
      </c>
      <c r="C101" s="41"/>
      <c r="D101" s="40" t="s">
        <v>15</v>
      </c>
      <c r="E101" s="41"/>
      <c r="F101" s="44"/>
      <c r="G101" s="45"/>
      <c r="H101" s="43">
        <f t="shared" ref="H101:AF101" ca="1" si="101">H19+H47+H77</f>
        <v>8857.2406636188443</v>
      </c>
      <c r="I101" s="43">
        <f t="shared" ca="1" si="101"/>
        <v>8887.1098378603056</v>
      </c>
      <c r="J101" s="43">
        <f t="shared" ca="1" si="101"/>
        <v>8577.9458397913568</v>
      </c>
      <c r="K101" s="43">
        <f t="shared" ca="1" si="101"/>
        <v>8271.1189855052435</v>
      </c>
      <c r="L101" s="43">
        <f t="shared" ca="1" si="101"/>
        <v>7966.762959626345</v>
      </c>
      <c r="M101" s="43">
        <f t="shared" ca="1" si="101"/>
        <v>7665.019093539554</v>
      </c>
      <c r="N101" s="43">
        <f t="shared" ca="1" si="101"/>
        <v>7366.0368027849781</v>
      </c>
      <c r="O101" s="43">
        <f t="shared" ca="1" si="101"/>
        <v>7069.9740494716207</v>
      </c>
      <c r="P101" s="43">
        <f t="shared" ca="1" si="101"/>
        <v>6776.9978311411178</v>
      </c>
      <c r="Q101" s="43">
        <f t="shared" ca="1" si="101"/>
        <v>6487.2846975944922</v>
      </c>
      <c r="R101" s="43">
        <f t="shared" ca="1" si="101"/>
        <v>6201.0212972813779</v>
      </c>
      <c r="S101" s="43">
        <f t="shared" ca="1" si="101"/>
        <v>5058.4636158152225</v>
      </c>
      <c r="T101" s="43">
        <f t="shared" ca="1" si="101"/>
        <v>5107.5287738183943</v>
      </c>
      <c r="U101" s="43">
        <f t="shared" ca="1" si="101"/>
        <v>4984.7786293302606</v>
      </c>
      <c r="V101" s="43">
        <f t="shared" ca="1" si="101"/>
        <v>4968.8733664744686</v>
      </c>
      <c r="W101" s="43">
        <f t="shared" ca="1" si="101"/>
        <v>4933.394150975706</v>
      </c>
      <c r="X101" s="43">
        <f t="shared" ca="1" si="101"/>
        <v>4901.2682125027932</v>
      </c>
      <c r="Y101" s="43">
        <f t="shared" ca="1" si="101"/>
        <v>4872.6873585016092</v>
      </c>
      <c r="Z101" s="43">
        <f t="shared" ca="1" si="101"/>
        <v>4847.8543678039387</v>
      </c>
      <c r="AA101" s="43">
        <f t="shared" ca="1" si="101"/>
        <v>4826.9836181907413</v>
      </c>
      <c r="AB101" s="43">
        <f t="shared" ca="1" si="101"/>
        <v>4810.3017498520485</v>
      </c>
      <c r="AC101" s="43">
        <f t="shared" ca="1" si="101"/>
        <v>4798.0483667967619</v>
      </c>
      <c r="AD101" s="43">
        <f t="shared" ca="1" si="101"/>
        <v>4886.9126284072709</v>
      </c>
      <c r="AE101" s="43">
        <f t="shared" ca="1" si="101"/>
        <v>4945.1394665564958</v>
      </c>
      <c r="AF101" s="43">
        <f t="shared" ca="1" si="101"/>
        <v>4982.3622780748346</v>
      </c>
    </row>
    <row r="102" spans="2:32" ht="13">
      <c r="B102" s="15" t="s">
        <v>186</v>
      </c>
      <c r="C102" s="15"/>
      <c r="D102" s="40" t="s">
        <v>15</v>
      </c>
      <c r="E102" s="41"/>
      <c r="F102" s="46"/>
      <c r="G102" s="47"/>
      <c r="H102" s="43">
        <f t="shared" ref="H102:AF102" ca="1" si="102">H20+H48+H78</f>
        <v>119560.31999999999</v>
      </c>
      <c r="I102" s="43">
        <f t="shared" ca="1" si="102"/>
        <v>119560.31999999999</v>
      </c>
      <c r="J102" s="43">
        <f t="shared" ca="1" si="102"/>
        <v>119560.31999999999</v>
      </c>
      <c r="K102" s="43">
        <f t="shared" ca="1" si="102"/>
        <v>119560.31999999999</v>
      </c>
      <c r="L102" s="43">
        <f t="shared" ca="1" si="102"/>
        <v>119560.31999999999</v>
      </c>
      <c r="M102" s="43">
        <f t="shared" ca="1" si="102"/>
        <v>119560.31999999999</v>
      </c>
      <c r="N102" s="43">
        <f t="shared" ca="1" si="102"/>
        <v>119560.31999999999</v>
      </c>
      <c r="O102" s="43">
        <f t="shared" ca="1" si="102"/>
        <v>119560.31999999999</v>
      </c>
      <c r="P102" s="43">
        <f t="shared" ca="1" si="102"/>
        <v>119560.31999999999</v>
      </c>
      <c r="Q102" s="43">
        <f t="shared" ca="1" si="102"/>
        <v>119560.31999999999</v>
      </c>
      <c r="R102" s="43">
        <f t="shared" ca="1" si="102"/>
        <v>119560.31999999999</v>
      </c>
      <c r="S102" s="43">
        <f t="shared" ca="1" si="102"/>
        <v>89147.51999999999</v>
      </c>
      <c r="T102" s="43">
        <f t="shared" ca="1" si="102"/>
        <v>89147.51999999999</v>
      </c>
      <c r="U102" s="43">
        <f t="shared" ca="1" si="102"/>
        <v>84078.719999999987</v>
      </c>
      <c r="V102" s="43">
        <f t="shared" ca="1" si="102"/>
        <v>84078.719999999987</v>
      </c>
      <c r="W102" s="43">
        <f t="shared" ca="1" si="102"/>
        <v>84078.719999999987</v>
      </c>
      <c r="X102" s="43">
        <f t="shared" ca="1" si="102"/>
        <v>84078.719999999987</v>
      </c>
      <c r="Y102" s="43">
        <f t="shared" ca="1" si="102"/>
        <v>84078.719999999987</v>
      </c>
      <c r="Z102" s="43">
        <f t="shared" ca="1" si="102"/>
        <v>84078.719999999987</v>
      </c>
      <c r="AA102" s="43">
        <f t="shared" ca="1" si="102"/>
        <v>84078.719999999987</v>
      </c>
      <c r="AB102" s="43">
        <f t="shared" ca="1" si="102"/>
        <v>84078.719999999987</v>
      </c>
      <c r="AC102" s="43">
        <f t="shared" ca="1" si="102"/>
        <v>84078.719999999987</v>
      </c>
      <c r="AD102" s="43">
        <f t="shared" ca="1" si="102"/>
        <v>77627.51999999999</v>
      </c>
      <c r="AE102" s="43">
        <f t="shared" ca="1" si="102"/>
        <v>77627.51999999999</v>
      </c>
      <c r="AF102" s="43">
        <f t="shared" ca="1" si="102"/>
        <v>77627.51999999999</v>
      </c>
    </row>
    <row r="103" spans="2:32" ht="13">
      <c r="B103" s="15" t="s">
        <v>86</v>
      </c>
      <c r="D103" s="17" t="s">
        <v>15</v>
      </c>
      <c r="E103" s="41"/>
      <c r="F103" s="46"/>
      <c r="G103" s="47"/>
      <c r="H103" s="38">
        <f t="shared" ref="H103:AF103" si="103">IF(Storage_technology="Standalone", H95*Storage_charging_cost*(1+Storage_chargingcost_escalation)^(H3-1), IF(H95&gt;H94*Storage_excess_solar, (H95-H94*Storage_excess_solar)*Storage_charging_cost*(1+Storage_chargingcost_escalation)^(H3-1), 0))</f>
        <v>0</v>
      </c>
      <c r="I103" s="38">
        <f t="shared" si="103"/>
        <v>0</v>
      </c>
      <c r="J103" s="38">
        <f t="shared" si="103"/>
        <v>0</v>
      </c>
      <c r="K103" s="38">
        <f t="shared" si="103"/>
        <v>0</v>
      </c>
      <c r="L103" s="38">
        <f t="shared" si="103"/>
        <v>0</v>
      </c>
      <c r="M103" s="38">
        <f t="shared" si="103"/>
        <v>0</v>
      </c>
      <c r="N103" s="38">
        <f t="shared" si="103"/>
        <v>0</v>
      </c>
      <c r="O103" s="38">
        <f t="shared" si="103"/>
        <v>0</v>
      </c>
      <c r="P103" s="38">
        <f t="shared" si="103"/>
        <v>0</v>
      </c>
      <c r="Q103" s="38">
        <f t="shared" si="103"/>
        <v>0</v>
      </c>
      <c r="R103" s="38">
        <f t="shared" si="103"/>
        <v>0</v>
      </c>
      <c r="S103" s="38">
        <f t="shared" si="103"/>
        <v>16585.880421435311</v>
      </c>
      <c r="T103" s="38">
        <f t="shared" si="103"/>
        <v>13704.094546018052</v>
      </c>
      <c r="U103" s="38">
        <f t="shared" si="103"/>
        <v>10700.646383080293</v>
      </c>
      <c r="V103" s="38">
        <f t="shared" si="103"/>
        <v>7571.5762714990196</v>
      </c>
      <c r="W103" s="38">
        <f t="shared" si="103"/>
        <v>4312.8048328480108</v>
      </c>
      <c r="X103" s="38">
        <f t="shared" si="103"/>
        <v>920.1294442391885</v>
      </c>
      <c r="Y103" s="38">
        <f t="shared" si="103"/>
        <v>0</v>
      </c>
      <c r="Z103" s="38">
        <f t="shared" si="103"/>
        <v>0</v>
      </c>
      <c r="AA103" s="38">
        <f t="shared" si="103"/>
        <v>0</v>
      </c>
      <c r="AB103" s="38">
        <f t="shared" si="103"/>
        <v>0</v>
      </c>
      <c r="AC103" s="38">
        <f t="shared" si="103"/>
        <v>0</v>
      </c>
      <c r="AD103" s="38">
        <f t="shared" si="103"/>
        <v>87564.943365722575</v>
      </c>
      <c r="AE103" s="38">
        <f t="shared" si="103"/>
        <v>84352.837880798776</v>
      </c>
      <c r="AF103" s="38">
        <f t="shared" si="103"/>
        <v>80982.433660394672</v>
      </c>
    </row>
    <row r="104" spans="2:32" ht="13">
      <c r="B104" s="231" t="s">
        <v>189</v>
      </c>
      <c r="C104" s="15"/>
      <c r="D104" s="17" t="s">
        <v>15</v>
      </c>
      <c r="E104" s="15"/>
      <c r="F104" s="15"/>
      <c r="G104" s="37"/>
      <c r="H104" s="38">
        <f t="shared" ref="H104:AF104" ca="1" si="104">SUM(H97:H103)</f>
        <v>457124.4905936888</v>
      </c>
      <c r="I104" s="38">
        <f t="shared" ca="1" si="104"/>
        <v>458028.23390717496</v>
      </c>
      <c r="J104" s="38">
        <f t="shared" ca="1" si="104"/>
        <v>440942.06268407567</v>
      </c>
      <c r="K104" s="38">
        <f t="shared" ca="1" si="104"/>
        <v>423938.65259524726</v>
      </c>
      <c r="L104" s="38">
        <f t="shared" ca="1" si="104"/>
        <v>407022.73757757037</v>
      </c>
      <c r="M104" s="38">
        <f t="shared" ca="1" si="104"/>
        <v>390199.32234911475</v>
      </c>
      <c r="N104" s="38">
        <f t="shared" ca="1" si="104"/>
        <v>373473.69789782382</v>
      </c>
      <c r="O104" s="38">
        <f t="shared" ca="1" si="104"/>
        <v>356851.45785615145</v>
      </c>
      <c r="P104" s="38">
        <f t="shared" ca="1" si="104"/>
        <v>340338.51581232779</v>
      </c>
      <c r="Q104" s="38">
        <f t="shared" ca="1" si="104"/>
        <v>323941.12361182983</v>
      </c>
      <c r="R104" s="38">
        <f t="shared" ca="1" si="104"/>
        <v>307665.89070569567</v>
      </c>
      <c r="S104" s="38">
        <f t="shared" ca="1" si="104"/>
        <v>267612.07566826144</v>
      </c>
      <c r="T104" s="38">
        <f t="shared" ca="1" si="104"/>
        <v>266366.68526136409</v>
      </c>
      <c r="U104" s="38">
        <f t="shared" ca="1" si="104"/>
        <v>257634.09473555378</v>
      </c>
      <c r="V104" s="38">
        <f t="shared" ca="1" si="104"/>
        <v>252690.42220676193</v>
      </c>
      <c r="W104" s="38">
        <f t="shared" ca="1" si="104"/>
        <v>246525.0215647883</v>
      </c>
      <c r="X104" s="38">
        <f t="shared" ca="1" si="104"/>
        <v>240344.46063433914</v>
      </c>
      <c r="Y104" s="38">
        <f t="shared" ca="1" si="104"/>
        <v>236761.9814471787</v>
      </c>
      <c r="Z104" s="38">
        <f t="shared" ca="1" si="104"/>
        <v>234232.34815087478</v>
      </c>
      <c r="AA104" s="38">
        <f t="shared" ca="1" si="104"/>
        <v>231843.02268193464</v>
      </c>
      <c r="AB104" s="38">
        <f t="shared" ca="1" si="104"/>
        <v>229602.03064808348</v>
      </c>
      <c r="AC104" s="38">
        <f t="shared" ca="1" si="104"/>
        <v>227517.85672180838</v>
      </c>
      <c r="AD104" s="38">
        <f t="shared" ca="1" si="104"/>
        <v>320051.99510251079</v>
      </c>
      <c r="AE104" s="38">
        <f t="shared" ca="1" si="104"/>
        <v>318420.50341555779</v>
      </c>
      <c r="AF104" s="38">
        <f t="shared" ca="1" si="104"/>
        <v>315432.65434355545</v>
      </c>
    </row>
    <row r="105" spans="2:32" ht="13">
      <c r="B105" s="231" t="s">
        <v>190</v>
      </c>
      <c r="C105" s="41"/>
      <c r="D105" s="48" t="s">
        <v>15</v>
      </c>
      <c r="E105" s="49"/>
      <c r="F105" s="41"/>
      <c r="G105" s="42"/>
      <c r="H105" s="50">
        <f t="shared" ref="H105:AF105" ca="1" si="105">IF(Storage_technology="Standalone",H104/H96,H104/(H94-H95+H96))</f>
        <v>11.596258005928178</v>
      </c>
      <c r="I105" s="50">
        <f t="shared" ca="1" si="105"/>
        <v>11.853595773420007</v>
      </c>
      <c r="J105" s="50">
        <f t="shared" ca="1" si="105"/>
        <v>11.641678618573467</v>
      </c>
      <c r="K105" s="50">
        <f t="shared" ca="1" si="105"/>
        <v>11.41865639655621</v>
      </c>
      <c r="L105" s="50">
        <f t="shared" ca="1" si="105"/>
        <v>11.184336960149997</v>
      </c>
      <c r="M105" s="50">
        <f t="shared" ca="1" si="105"/>
        <v>10.93853864905312</v>
      </c>
      <c r="N105" s="50">
        <f t="shared" ca="1" si="105"/>
        <v>10.681091876815493</v>
      </c>
      <c r="O105" s="50">
        <f t="shared" ca="1" si="105"/>
        <v>10.411840863126015</v>
      </c>
      <c r="P105" s="50">
        <f t="shared" ca="1" si="105"/>
        <v>10.130645523412143</v>
      </c>
      <c r="Q105" s="50">
        <f t="shared" ca="1" si="105"/>
        <v>9.8373835286663702</v>
      </c>
      <c r="R105" s="50">
        <f t="shared" ca="1" si="105"/>
        <v>9.5319525494435364</v>
      </c>
      <c r="S105" s="50">
        <f t="shared" ca="1" si="105"/>
        <v>8.5063977745379056</v>
      </c>
      <c r="T105" s="50">
        <f t="shared" ca="1" si="105"/>
        <v>8.6371251729038558</v>
      </c>
      <c r="U105" s="50">
        <f t="shared" ca="1" si="105"/>
        <v>8.5220513132650311</v>
      </c>
      <c r="V105" s="50">
        <f t="shared" ca="1" si="105"/>
        <v>8.5267440626306623</v>
      </c>
      <c r="W105" s="50">
        <f t="shared" ca="1" si="105"/>
        <v>8.4861594542877388</v>
      </c>
      <c r="X105" s="50">
        <f t="shared" ca="1" si="105"/>
        <v>8.4399931999746372</v>
      </c>
      <c r="Y105" s="50">
        <f t="shared" ca="1" si="105"/>
        <v>8.4816386785443107</v>
      </c>
      <c r="Z105" s="50">
        <f t="shared" ca="1" si="105"/>
        <v>8.5600536072752877</v>
      </c>
      <c r="AA105" s="50">
        <f t="shared" ca="1" si="105"/>
        <v>8.6434556334686903</v>
      </c>
      <c r="AB105" s="50">
        <f t="shared" ca="1" si="105"/>
        <v>8.732423409979317</v>
      </c>
      <c r="AC105" s="50">
        <f t="shared" ca="1" si="105"/>
        <v>8.8275892556223958</v>
      </c>
      <c r="AD105" s="50">
        <f t="shared" ca="1" si="105"/>
        <v>12.758014562283696</v>
      </c>
      <c r="AE105" s="50">
        <f t="shared" ca="1" si="105"/>
        <v>12.947360930632883</v>
      </c>
      <c r="AF105" s="50">
        <f t="shared" ca="1" si="105"/>
        <v>13.082998591674976</v>
      </c>
    </row>
    <row r="106" spans="2:32" ht="13">
      <c r="B106" s="41" t="s">
        <v>34</v>
      </c>
      <c r="C106" s="41"/>
      <c r="D106" s="48"/>
      <c r="E106" s="49"/>
      <c r="F106" s="52"/>
      <c r="G106" s="53"/>
      <c r="H106" s="50">
        <v>1</v>
      </c>
      <c r="I106" s="54">
        <f t="shared" ref="I106:AF106" si="106">H106/(1+Storage_discount_rate)</f>
        <v>0.9129918743723181</v>
      </c>
      <c r="J106" s="54">
        <f t="shared" si="106"/>
        <v>0.8335541626698787</v>
      </c>
      <c r="K106" s="54">
        <f t="shared" si="106"/>
        <v>0.76102817736682071</v>
      </c>
      <c r="L106" s="54">
        <f t="shared" si="106"/>
        <v>0.69481254210428267</v>
      </c>
      <c r="M106" s="54">
        <f t="shared" si="106"/>
        <v>0.6343582051531842</v>
      </c>
      <c r="N106" s="54">
        <f t="shared" si="106"/>
        <v>0.57916388674626518</v>
      </c>
      <c r="O106" s="54">
        <f t="shared" si="106"/>
        <v>0.52877192252922967</v>
      </c>
      <c r="P106" s="54">
        <f t="shared" si="106"/>
        <v>0.48276446866541561</v>
      </c>
      <c r="Q106" s="54">
        <f t="shared" si="106"/>
        <v>0.44076003712719403</v>
      </c>
      <c r="R106" s="54">
        <f t="shared" si="106"/>
        <v>0.40241033244516938</v>
      </c>
      <c r="S106" s="54">
        <f t="shared" si="106"/>
        <v>0.36739736368590287</v>
      </c>
      <c r="T106" s="54">
        <f t="shared" si="106"/>
        <v>0.33543080771104072</v>
      </c>
      <c r="U106" s="54">
        <f t="shared" si="106"/>
        <v>0.3062456018543237</v>
      </c>
      <c r="V106" s="54">
        <f t="shared" si="106"/>
        <v>0.27959974605525767</v>
      </c>
      <c r="W106" s="54">
        <f t="shared" si="106"/>
        <v>0.25527229622501385</v>
      </c>
      <c r="X106" s="54">
        <f t="shared" si="106"/>
        <v>0.23306153220580103</v>
      </c>
      <c r="Y106" s="54">
        <f t="shared" si="106"/>
        <v>0.21278328513265868</v>
      </c>
      <c r="Z106" s="54">
        <f t="shared" si="106"/>
        <v>0.19426941032836545</v>
      </c>
      <c r="AA106" s="54">
        <f t="shared" si="106"/>
        <v>0.17736639306889934</v>
      </c>
      <c r="AB106" s="54">
        <f t="shared" si="106"/>
        <v>0.16193407565863174</v>
      </c>
      <c r="AC106" s="54">
        <f t="shared" si="106"/>
        <v>0.14784449526032298</v>
      </c>
      <c r="AD106" s="54">
        <f t="shared" si="106"/>
        <v>0.13498082284335158</v>
      </c>
      <c r="AE106" s="54">
        <f t="shared" si="106"/>
        <v>0.12323639445206938</v>
      </c>
      <c r="AF106" s="54">
        <f t="shared" si="106"/>
        <v>0.11251382676168117</v>
      </c>
    </row>
    <row r="107" spans="2:32" ht="13">
      <c r="B107" s="41" t="s">
        <v>57</v>
      </c>
      <c r="C107" s="41"/>
      <c r="D107" s="48" t="s">
        <v>15</v>
      </c>
      <c r="E107" s="49"/>
      <c r="F107" s="52"/>
      <c r="G107" s="53"/>
      <c r="H107" s="50">
        <f ca="1">H105*H106</f>
        <v>11.596258005928178</v>
      </c>
      <c r="I107" s="50">
        <f t="shared" ref="I107:AF107" ca="1" si="107">I105*I106</f>
        <v>10.822236623226519</v>
      </c>
      <c r="J107" s="50">
        <f t="shared" ca="1" si="107"/>
        <v>9.7039696729768359</v>
      </c>
      <c r="K107" s="50">
        <f t="shared" ca="1" si="107"/>
        <v>8.689919265449161</v>
      </c>
      <c r="L107" s="50">
        <f t="shared" ca="1" si="107"/>
        <v>7.7710175950327045</v>
      </c>
      <c r="M107" s="50">
        <f t="shared" ca="1" si="107"/>
        <v>6.9389517444120736</v>
      </c>
      <c r="N107" s="50">
        <f t="shared" ca="1" si="107"/>
        <v>6.1861026860704218</v>
      </c>
      <c r="O107" s="50">
        <f t="shared" ca="1" si="107"/>
        <v>5.5054891102635368</v>
      </c>
      <c r="P107" s="50">
        <f t="shared" ca="1" si="107"/>
        <v>4.8907157033477349</v>
      </c>
      <c r="Q107" s="50">
        <f t="shared" ca="1" si="107"/>
        <v>4.3359255293294368</v>
      </c>
      <c r="R107" s="50">
        <f t="shared" ca="1" si="107"/>
        <v>3.8357561942731535</v>
      </c>
      <c r="S107" s="50">
        <f t="shared" ca="1" si="107"/>
        <v>3.1252281168288576</v>
      </c>
      <c r="T107" s="50">
        <f t="shared" ca="1" si="107"/>
        <v>2.8971578730485028</v>
      </c>
      <c r="U107" s="50">
        <f t="shared" ca="1" si="107"/>
        <v>2.6098407334642792</v>
      </c>
      <c r="V107" s="50">
        <f t="shared" ca="1" si="107"/>
        <v>2.3840754745897095</v>
      </c>
      <c r="W107" s="50">
        <f t="shared" ca="1" si="107"/>
        <v>2.1662814100276417</v>
      </c>
      <c r="X107" s="50">
        <f t="shared" ca="1" si="107"/>
        <v>1.9670377469926306</v>
      </c>
      <c r="Y107" s="50">
        <f t="shared" ca="1" si="107"/>
        <v>1.8047509413288805</v>
      </c>
      <c r="Z107" s="50">
        <f t="shared" ca="1" si="107"/>
        <v>1.6629565666645678</v>
      </c>
      <c r="AA107" s="50">
        <f t="shared" ca="1" si="107"/>
        <v>1.5330585493594</v>
      </c>
      <c r="AB107" s="50">
        <f t="shared" ca="1" si="107"/>
        <v>1.4140769131547977</v>
      </c>
      <c r="AC107" s="50">
        <f t="shared" ca="1" si="107"/>
        <v>1.3051104778629434</v>
      </c>
      <c r="AD107" s="50">
        <f t="shared" ca="1" si="107"/>
        <v>1.7220873034645152</v>
      </c>
      <c r="AE107" s="50">
        <f t="shared" ca="1" si="107"/>
        <v>1.5955860787607861</v>
      </c>
      <c r="AF107" s="50">
        <f t="shared" ca="1" si="107"/>
        <v>1.4720182370670369</v>
      </c>
    </row>
    <row r="108" spans="2:32" ht="13">
      <c r="B108" s="231" t="s">
        <v>191</v>
      </c>
      <c r="C108" s="234"/>
      <c r="D108" s="233" t="s">
        <v>15</v>
      </c>
      <c r="E108" s="235"/>
      <c r="F108" s="232">
        <f ca="1">IF(Storage_technology="Solar+Storage", SUM(OFFSET(H107,0,0,1,SolarPV_plant_life))/SUM(OFFSET(H106,0,0,1,SolarPV_plant_life)), SUM(OFFSET(H107,0,0,1,Storage_life))/SUM(OFFSET(H106,0,0,1,Storage_life)))</f>
        <v>10.466430822078049</v>
      </c>
      <c r="G108" s="56"/>
      <c r="H108" s="50"/>
      <c r="I108" s="5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row>
    <row r="109" spans="2:32" ht="13">
      <c r="B109" s="231" t="s">
        <v>192</v>
      </c>
      <c r="C109" s="234"/>
      <c r="D109" s="233" t="s">
        <v>15</v>
      </c>
      <c r="E109" s="235"/>
      <c r="F109" s="232">
        <f ca="1">IF(Storage_technology="Solar+Storage", AVERAGE(OFFSET(H105,0,0,1,SolarPV_plant_life)), AVERAGE(OFFSET(H105,0,0,1,Storage_life)))</f>
        <v>10.095119375689036</v>
      </c>
      <c r="G109" s="56"/>
      <c r="H109" s="50"/>
      <c r="I109" s="5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row>
    <row r="110" spans="2:32" ht="13">
      <c r="B110" s="41"/>
      <c r="C110" s="41"/>
      <c r="D110" s="48"/>
      <c r="E110" s="49"/>
      <c r="F110" s="41"/>
      <c r="G110" s="42"/>
      <c r="H110" s="57"/>
      <c r="I110" s="58"/>
      <c r="J110" s="50"/>
      <c r="K110" s="57"/>
      <c r="L110" s="57"/>
      <c r="M110" s="57"/>
      <c r="N110" s="57"/>
      <c r="O110" s="57"/>
      <c r="P110" s="57"/>
      <c r="Q110" s="57"/>
      <c r="R110" s="57"/>
      <c r="S110" s="57"/>
      <c r="T110" s="57"/>
      <c r="U110" s="57"/>
      <c r="V110" s="57"/>
      <c r="W110" s="57"/>
      <c r="X110" s="57"/>
      <c r="Y110" s="57"/>
      <c r="Z110" s="57"/>
      <c r="AA110" s="57"/>
      <c r="AB110" s="57"/>
      <c r="AC110" s="57"/>
      <c r="AD110" s="57"/>
      <c r="AE110" s="57"/>
      <c r="AF110" s="57"/>
    </row>
    <row r="111" spans="2:32">
      <c r="F111" s="78"/>
      <c r="G111" s="78"/>
      <c r="H111" s="78"/>
      <c r="I111" s="78"/>
      <c r="J111" s="78"/>
      <c r="K111" s="78"/>
      <c r="L111" s="78"/>
      <c r="M111" s="78"/>
      <c r="N111" s="78"/>
      <c r="O111" s="78"/>
      <c r="P111" s="78"/>
      <c r="Q111" s="78"/>
      <c r="R111" s="78"/>
      <c r="S111" s="78"/>
      <c r="T111" s="78"/>
      <c r="U111" s="78"/>
      <c r="V111" s="78"/>
      <c r="W111" s="78"/>
      <c r="X111" s="78"/>
      <c r="Y111" s="78"/>
      <c r="Z111" s="78"/>
      <c r="AA111" s="78"/>
      <c r="AB111" s="78"/>
      <c r="AC111" s="78"/>
      <c r="AD111" s="78"/>
      <c r="AE111" s="78"/>
      <c r="AF111" s="78"/>
    </row>
    <row r="117" spans="8:3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row>
  </sheetData>
  <sheetProtection sheet="1" selectLockedCells="1" selectUnlockedCells="1"/>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sheetPr>
  <dimension ref="A3:J23"/>
  <sheetViews>
    <sheetView showGridLines="0" workbookViewId="0">
      <selection activeCell="D4" sqref="D4"/>
    </sheetView>
  </sheetViews>
  <sheetFormatPr defaultColWidth="8.6328125" defaultRowHeight="11.5"/>
  <cols>
    <col min="1" max="1" width="8.6328125" style="83"/>
    <col min="2" max="2" width="29.81640625" style="83" customWidth="1"/>
    <col min="3" max="3" width="1.36328125" style="83" customWidth="1"/>
    <col min="4" max="4" width="14.6328125" style="83" customWidth="1"/>
    <col min="5" max="16384" width="8.6328125" style="83"/>
  </cols>
  <sheetData>
    <row r="3" spans="1:10" ht="14.5">
      <c r="B3" s="201" t="s">
        <v>107</v>
      </c>
      <c r="C3" s="213"/>
      <c r="D3" s="201" t="s">
        <v>118</v>
      </c>
    </row>
    <row r="4" spans="1:10" ht="13">
      <c r="A4" s="85"/>
      <c r="B4" s="84" t="s">
        <v>103</v>
      </c>
      <c r="C4" s="85"/>
      <c r="D4" s="168">
        <v>0</v>
      </c>
      <c r="E4" s="85"/>
      <c r="F4" s="85"/>
      <c r="G4" s="85"/>
      <c r="H4" s="85"/>
      <c r="I4" s="85"/>
      <c r="J4" s="85"/>
    </row>
    <row r="5" spans="1:10" ht="13">
      <c r="A5" s="85"/>
      <c r="B5" s="84" t="s">
        <v>90</v>
      </c>
      <c r="C5" s="85"/>
      <c r="D5" s="168">
        <v>2.5</v>
      </c>
      <c r="E5" s="85"/>
      <c r="F5" s="85"/>
      <c r="G5" s="85"/>
      <c r="H5" s="85"/>
      <c r="I5" s="85"/>
      <c r="J5" s="85"/>
    </row>
    <row r="6" spans="1:10" ht="13">
      <c r="A6" s="85"/>
      <c r="B6" s="84" t="s">
        <v>91</v>
      </c>
      <c r="C6" s="85"/>
      <c r="D6" s="168">
        <v>2.5</v>
      </c>
      <c r="E6" s="85"/>
      <c r="F6" s="85"/>
      <c r="G6" s="85"/>
      <c r="H6" s="85"/>
      <c r="I6" s="85"/>
      <c r="J6" s="85"/>
    </row>
    <row r="7" spans="1:10" ht="13">
      <c r="A7" s="85"/>
      <c r="B7" s="84" t="s">
        <v>92</v>
      </c>
      <c r="C7" s="85"/>
      <c r="D7" s="168">
        <v>3</v>
      </c>
      <c r="E7" s="85"/>
      <c r="F7" s="85"/>
      <c r="G7" s="85"/>
      <c r="H7" s="85"/>
      <c r="I7" s="85"/>
      <c r="J7" s="85"/>
    </row>
    <row r="8" spans="1:10" ht="13">
      <c r="A8" s="85"/>
      <c r="B8" s="84" t="s">
        <v>93</v>
      </c>
      <c r="C8" s="85"/>
      <c r="D8" s="168">
        <v>6.6</v>
      </c>
      <c r="E8" s="85"/>
      <c r="F8" s="85"/>
      <c r="G8" s="85"/>
      <c r="H8" s="85"/>
      <c r="I8" s="85"/>
      <c r="J8" s="85"/>
    </row>
    <row r="9" spans="1:10" ht="13">
      <c r="A9" s="85"/>
      <c r="B9" s="84" t="s">
        <v>94</v>
      </c>
      <c r="C9" s="85"/>
      <c r="D9" s="168">
        <v>6.35</v>
      </c>
      <c r="E9" s="85"/>
      <c r="F9" s="85"/>
      <c r="G9" s="85"/>
      <c r="H9" s="85"/>
      <c r="I9" s="85"/>
      <c r="J9" s="85"/>
    </row>
    <row r="10" spans="1:10" ht="13">
      <c r="A10" s="85"/>
      <c r="B10" s="84" t="s">
        <v>96</v>
      </c>
      <c r="C10" s="85"/>
      <c r="D10" s="168">
        <v>5.75</v>
      </c>
      <c r="E10" s="85"/>
      <c r="F10" s="85"/>
      <c r="G10" s="85"/>
      <c r="H10" s="85"/>
      <c r="I10" s="85"/>
      <c r="J10" s="85"/>
    </row>
    <row r="11" spans="1:10" ht="13">
      <c r="A11" s="85"/>
      <c r="B11" s="84" t="s">
        <v>100</v>
      </c>
      <c r="C11" s="85"/>
      <c r="D11" s="168">
        <v>7.5</v>
      </c>
      <c r="E11" s="85"/>
      <c r="F11" s="85"/>
      <c r="G11" s="85"/>
      <c r="H11" s="85"/>
      <c r="I11" s="85"/>
      <c r="J11" s="85"/>
    </row>
    <row r="12" spans="1:10" ht="13">
      <c r="A12" s="85"/>
      <c r="B12" s="84" t="s">
        <v>95</v>
      </c>
      <c r="C12" s="85"/>
      <c r="D12" s="168">
        <v>6.35</v>
      </c>
      <c r="E12" s="85"/>
      <c r="F12" s="85"/>
      <c r="G12" s="85"/>
      <c r="H12" s="85"/>
      <c r="I12" s="85"/>
      <c r="J12" s="85"/>
    </row>
    <row r="13" spans="1:10" ht="13">
      <c r="A13" s="85"/>
      <c r="B13" s="84" t="s">
        <v>102</v>
      </c>
      <c r="C13" s="85"/>
      <c r="D13" s="168">
        <v>8.0500000000000007</v>
      </c>
      <c r="E13" s="85"/>
      <c r="F13" s="85"/>
      <c r="G13" s="85"/>
      <c r="H13" s="85"/>
      <c r="I13" s="85"/>
      <c r="J13" s="85"/>
    </row>
    <row r="14" spans="1:10" ht="13">
      <c r="A14" s="85"/>
      <c r="B14" s="84" t="s">
        <v>97</v>
      </c>
      <c r="C14" s="85"/>
      <c r="D14" s="168">
        <v>6.35</v>
      </c>
      <c r="E14" s="85"/>
      <c r="F14" s="85"/>
      <c r="G14" s="85"/>
      <c r="H14" s="85"/>
      <c r="I14" s="85"/>
      <c r="J14" s="85"/>
    </row>
    <row r="15" spans="1:10" ht="13">
      <c r="A15" s="85"/>
      <c r="B15" s="84" t="s">
        <v>99</v>
      </c>
      <c r="C15" s="85"/>
      <c r="D15" s="168">
        <v>6.35</v>
      </c>
      <c r="E15" s="85"/>
      <c r="F15" s="85"/>
      <c r="G15" s="85"/>
      <c r="H15" s="85"/>
      <c r="I15" s="85"/>
      <c r="J15" s="85"/>
    </row>
    <row r="16" spans="1:10" ht="13">
      <c r="A16" s="85"/>
      <c r="B16" s="84" t="s">
        <v>101</v>
      </c>
      <c r="C16" s="85"/>
      <c r="D16" s="168">
        <v>6.35</v>
      </c>
      <c r="E16" s="85"/>
      <c r="F16" s="85"/>
      <c r="G16" s="85"/>
      <c r="H16" s="85"/>
      <c r="I16" s="85"/>
      <c r="J16" s="85"/>
    </row>
    <row r="17" spans="1:10" ht="13">
      <c r="A17" s="85"/>
      <c r="B17" s="84" t="s">
        <v>98</v>
      </c>
      <c r="C17" s="85"/>
      <c r="D17" s="168">
        <v>8</v>
      </c>
      <c r="E17" s="85"/>
      <c r="F17" s="85"/>
      <c r="G17" s="85"/>
      <c r="H17" s="85"/>
      <c r="I17" s="85"/>
      <c r="J17" s="85"/>
    </row>
    <row r="18" spans="1:10" ht="13">
      <c r="A18" s="85"/>
      <c r="B18" s="84" t="s">
        <v>108</v>
      </c>
      <c r="C18" s="85"/>
      <c r="D18" s="168">
        <v>3.7</v>
      </c>
      <c r="E18" s="85"/>
      <c r="F18" s="85"/>
      <c r="G18" s="85"/>
      <c r="H18" s="85"/>
      <c r="I18" s="85"/>
      <c r="J18" s="85"/>
    </row>
    <row r="19" spans="1:10" ht="13">
      <c r="A19" s="85"/>
      <c r="B19" s="85"/>
      <c r="C19" s="85"/>
      <c r="D19" s="85"/>
      <c r="E19" s="85"/>
      <c r="F19" s="85"/>
      <c r="G19" s="85"/>
      <c r="H19" s="85"/>
      <c r="I19" s="85"/>
      <c r="J19" s="85"/>
    </row>
    <row r="20" spans="1:10" ht="13">
      <c r="A20" s="85"/>
      <c r="B20" s="85"/>
      <c r="C20" s="85"/>
      <c r="D20" s="85"/>
      <c r="E20" s="85"/>
      <c r="F20" s="85"/>
      <c r="G20" s="85"/>
      <c r="H20" s="85"/>
      <c r="I20" s="85"/>
      <c r="J20" s="85"/>
    </row>
    <row r="21" spans="1:10" ht="13">
      <c r="A21" s="85"/>
      <c r="B21" s="85"/>
      <c r="C21" s="85"/>
      <c r="D21" s="85"/>
      <c r="E21" s="85"/>
      <c r="F21" s="85"/>
      <c r="G21" s="85"/>
      <c r="H21" s="85"/>
      <c r="I21" s="85"/>
      <c r="J21" s="85"/>
    </row>
    <row r="22" spans="1:10" ht="13">
      <c r="A22" s="85"/>
      <c r="B22" s="85"/>
      <c r="C22" s="85"/>
      <c r="D22" s="85"/>
      <c r="E22" s="85"/>
      <c r="F22" s="85"/>
      <c r="G22" s="85"/>
      <c r="H22" s="85"/>
      <c r="I22" s="85"/>
      <c r="J22" s="85"/>
    </row>
    <row r="23" spans="1:10" ht="13">
      <c r="A23" s="85"/>
      <c r="B23" s="85"/>
      <c r="C23" s="85"/>
      <c r="D23" s="85"/>
      <c r="E23" s="85"/>
      <c r="F23" s="85"/>
      <c r="G23" s="85"/>
      <c r="H23" s="85"/>
      <c r="I23" s="85"/>
      <c r="J23" s="85"/>
    </row>
  </sheetData>
  <sheetProtection sheet="1" selectLockedCells="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2"/>
  </sheetPr>
  <dimension ref="B2:J49"/>
  <sheetViews>
    <sheetView showGridLines="0" zoomScaleNormal="100" workbookViewId="0">
      <selection activeCell="G25" sqref="G25"/>
    </sheetView>
  </sheetViews>
  <sheetFormatPr defaultColWidth="8.6328125" defaultRowHeight="13"/>
  <cols>
    <col min="1" max="1" width="8.6328125" style="8"/>
    <col min="2" max="2" width="7.81640625" style="8" customWidth="1"/>
    <col min="3" max="3" width="1.36328125" style="8" customWidth="1"/>
    <col min="4" max="4" width="20.6328125" style="8" customWidth="1"/>
    <col min="5" max="16384" width="8.6328125" style="8"/>
  </cols>
  <sheetData>
    <row r="2" spans="2:10" ht="14.5">
      <c r="B2" s="80" t="s">
        <v>212</v>
      </c>
    </row>
    <row r="3" spans="2:10" ht="14.5">
      <c r="B3" s="201" t="s">
        <v>89</v>
      </c>
      <c r="C3" s="214"/>
      <c r="D3" s="201" t="s">
        <v>104</v>
      </c>
    </row>
    <row r="4" spans="2:10">
      <c r="B4" s="84">
        <v>2015</v>
      </c>
      <c r="C4" s="85"/>
      <c r="D4" s="87">
        <v>1</v>
      </c>
      <c r="G4" s="86"/>
    </row>
    <row r="5" spans="2:10">
      <c r="B5" s="84">
        <v>2016</v>
      </c>
      <c r="C5" s="85"/>
      <c r="D5" s="87">
        <v>0.92</v>
      </c>
    </row>
    <row r="6" spans="2:10">
      <c r="B6" s="84">
        <v>2017</v>
      </c>
      <c r="C6" s="85"/>
      <c r="D6" s="87">
        <v>0.8</v>
      </c>
    </row>
    <row r="7" spans="2:10">
      <c r="B7" s="84">
        <v>2018</v>
      </c>
      <c r="C7" s="85"/>
      <c r="D7" s="87">
        <v>0.71</v>
      </c>
    </row>
    <row r="8" spans="2:10">
      <c r="B8" s="84">
        <v>2019</v>
      </c>
      <c r="C8" s="85"/>
      <c r="D8" s="87">
        <v>0.62</v>
      </c>
    </row>
    <row r="9" spans="2:10">
      <c r="B9" s="84">
        <v>2020</v>
      </c>
      <c r="C9" s="85"/>
      <c r="D9" s="87">
        <v>0.55000000000000004</v>
      </c>
    </row>
    <row r="10" spans="2:10">
      <c r="B10" s="84">
        <v>2021</v>
      </c>
      <c r="C10" s="85"/>
      <c r="D10" s="87">
        <v>0.49</v>
      </c>
      <c r="I10" s="8">
        <v>2015</v>
      </c>
      <c r="J10" s="8">
        <v>100</v>
      </c>
    </row>
    <row r="11" spans="2:10">
      <c r="B11" s="84">
        <v>2022</v>
      </c>
      <c r="C11" s="85"/>
      <c r="D11" s="87">
        <v>0.44</v>
      </c>
      <c r="I11" s="8">
        <v>2020</v>
      </c>
      <c r="J11" s="8">
        <v>55</v>
      </c>
    </row>
    <row r="12" spans="2:10">
      <c r="B12" s="84">
        <v>2023</v>
      </c>
      <c r="C12" s="85"/>
      <c r="D12" s="87">
        <v>0.41</v>
      </c>
      <c r="I12" s="8">
        <v>2025</v>
      </c>
      <c r="J12" s="8">
        <v>34</v>
      </c>
    </row>
    <row r="13" spans="2:10">
      <c r="B13" s="84">
        <v>2024</v>
      </c>
      <c r="C13" s="85"/>
      <c r="D13" s="87">
        <v>0.37</v>
      </c>
      <c r="I13" s="8">
        <v>2030</v>
      </c>
      <c r="J13" s="8">
        <v>23</v>
      </c>
    </row>
    <row r="14" spans="2:10">
      <c r="B14" s="84">
        <v>2025</v>
      </c>
      <c r="C14" s="85"/>
      <c r="D14" s="87">
        <v>0.34</v>
      </c>
      <c r="I14" s="8">
        <v>2035</v>
      </c>
      <c r="J14" s="8">
        <v>18</v>
      </c>
    </row>
    <row r="15" spans="2:10">
      <c r="B15" s="84">
        <v>2026</v>
      </c>
      <c r="C15" s="85"/>
      <c r="D15" s="87">
        <v>0.31</v>
      </c>
      <c r="I15" s="8">
        <v>2040</v>
      </c>
      <c r="J15" s="8">
        <v>16</v>
      </c>
    </row>
    <row r="16" spans="2:10">
      <c r="B16" s="84">
        <v>2027</v>
      </c>
      <c r="C16" s="85"/>
      <c r="D16" s="87">
        <v>0.28000000000000003</v>
      </c>
      <c r="I16" s="8">
        <v>2045</v>
      </c>
      <c r="J16" s="8">
        <v>15</v>
      </c>
    </row>
    <row r="17" spans="2:10">
      <c r="B17" s="84">
        <v>2028</v>
      </c>
      <c r="C17" s="85"/>
      <c r="D17" s="87">
        <v>0.26</v>
      </c>
      <c r="I17" s="8">
        <v>2050</v>
      </c>
      <c r="J17" s="8">
        <v>14</v>
      </c>
    </row>
    <row r="18" spans="2:10">
      <c r="B18" s="84">
        <v>2029</v>
      </c>
      <c r="C18" s="85"/>
      <c r="D18" s="87">
        <v>0.25</v>
      </c>
    </row>
    <row r="19" spans="2:10">
      <c r="B19" s="84">
        <v>2030</v>
      </c>
      <c r="C19" s="85"/>
      <c r="D19" s="87">
        <v>0.23</v>
      </c>
    </row>
    <row r="20" spans="2:10">
      <c r="B20" s="84">
        <v>2031</v>
      </c>
      <c r="C20" s="85"/>
      <c r="D20" s="87">
        <v>0.22</v>
      </c>
    </row>
    <row r="21" spans="2:10">
      <c r="B21" s="84">
        <v>2032</v>
      </c>
      <c r="C21" s="85"/>
      <c r="D21" s="87">
        <v>0.21</v>
      </c>
    </row>
    <row r="22" spans="2:10">
      <c r="B22" s="84">
        <v>2033</v>
      </c>
      <c r="C22" s="85"/>
      <c r="D22" s="87">
        <v>0.2</v>
      </c>
    </row>
    <row r="23" spans="2:10">
      <c r="B23" s="84">
        <v>2034</v>
      </c>
      <c r="C23" s="85"/>
      <c r="D23" s="87">
        <v>0.19</v>
      </c>
    </row>
    <row r="24" spans="2:10">
      <c r="B24" s="84">
        <v>2035</v>
      </c>
      <c r="C24" s="85"/>
      <c r="D24" s="87">
        <v>0.18</v>
      </c>
    </row>
    <row r="25" spans="2:10">
      <c r="B25" s="84">
        <v>2036</v>
      </c>
      <c r="C25" s="85"/>
      <c r="D25" s="87">
        <v>0.17</v>
      </c>
    </row>
    <row r="26" spans="2:10">
      <c r="B26" s="84">
        <v>2037</v>
      </c>
      <c r="C26" s="85"/>
      <c r="D26" s="87">
        <v>0.17</v>
      </c>
    </row>
    <row r="27" spans="2:10">
      <c r="B27" s="84">
        <v>2038</v>
      </c>
      <c r="C27" s="85"/>
      <c r="D27" s="87">
        <v>0.16</v>
      </c>
    </row>
    <row r="28" spans="2:10">
      <c r="B28" s="84">
        <v>2039</v>
      </c>
      <c r="C28" s="85"/>
      <c r="D28" s="87">
        <v>0.16</v>
      </c>
    </row>
    <row r="29" spans="2:10">
      <c r="B29" s="84">
        <v>2040</v>
      </c>
      <c r="C29" s="85"/>
      <c r="D29" s="87">
        <v>0.16</v>
      </c>
    </row>
    <row r="30" spans="2:10">
      <c r="B30" s="84">
        <v>2041</v>
      </c>
      <c r="C30" s="85"/>
      <c r="D30" s="87">
        <v>0.16</v>
      </c>
    </row>
    <row r="31" spans="2:10">
      <c r="B31" s="84">
        <v>2042</v>
      </c>
      <c r="C31" s="85"/>
      <c r="D31" s="87">
        <v>0.15</v>
      </c>
    </row>
    <row r="32" spans="2:10">
      <c r="B32" s="84">
        <v>2043</v>
      </c>
      <c r="C32" s="85"/>
      <c r="D32" s="87">
        <v>0.15</v>
      </c>
    </row>
    <row r="33" spans="2:4">
      <c r="B33" s="84">
        <v>2044</v>
      </c>
      <c r="C33" s="85"/>
      <c r="D33" s="87">
        <v>0.15</v>
      </c>
    </row>
    <row r="34" spans="2:4">
      <c r="B34" s="84">
        <v>2045</v>
      </c>
      <c r="C34" s="85"/>
      <c r="D34" s="87">
        <v>0.15</v>
      </c>
    </row>
    <row r="35" spans="2:4">
      <c r="B35" s="84">
        <v>2046</v>
      </c>
      <c r="C35" s="85"/>
      <c r="D35" s="87">
        <v>0.15</v>
      </c>
    </row>
    <row r="36" spans="2:4">
      <c r="B36" s="84">
        <v>2047</v>
      </c>
      <c r="C36" s="85"/>
      <c r="D36" s="87">
        <v>0.14000000000000001</v>
      </c>
    </row>
    <row r="37" spans="2:4">
      <c r="B37" s="84">
        <v>2048</v>
      </c>
      <c r="C37" s="85"/>
      <c r="D37" s="87">
        <v>0.14000000000000001</v>
      </c>
    </row>
    <row r="38" spans="2:4">
      <c r="B38" s="84">
        <v>2049</v>
      </c>
      <c r="C38" s="85"/>
      <c r="D38" s="87">
        <v>0.14000000000000001</v>
      </c>
    </row>
    <row r="39" spans="2:4">
      <c r="B39" s="84">
        <v>2050</v>
      </c>
      <c r="C39" s="85"/>
      <c r="D39" s="87">
        <v>0.14000000000000001</v>
      </c>
    </row>
    <row r="40" spans="2:4">
      <c r="B40" s="84">
        <v>2051</v>
      </c>
      <c r="C40" s="85"/>
      <c r="D40" s="87">
        <v>0.14000000000000001</v>
      </c>
    </row>
    <row r="41" spans="2:4">
      <c r="B41" s="84">
        <v>2052</v>
      </c>
      <c r="C41" s="85"/>
      <c r="D41" s="87">
        <v>0.14000000000000001</v>
      </c>
    </row>
    <row r="42" spans="2:4">
      <c r="B42" s="84">
        <v>2053</v>
      </c>
      <c r="C42" s="85"/>
      <c r="D42" s="87">
        <v>0.13</v>
      </c>
    </row>
    <row r="43" spans="2:4">
      <c r="B43" s="84">
        <v>2054</v>
      </c>
      <c r="C43" s="85"/>
      <c r="D43" s="87">
        <v>0.13</v>
      </c>
    </row>
    <row r="44" spans="2:4">
      <c r="B44" s="84">
        <v>2055</v>
      </c>
      <c r="C44" s="85"/>
      <c r="D44" s="87">
        <v>0.13</v>
      </c>
    </row>
    <row r="45" spans="2:4">
      <c r="B45" s="84">
        <v>2056</v>
      </c>
      <c r="C45" s="85"/>
      <c r="D45" s="87">
        <v>0.13</v>
      </c>
    </row>
    <row r="46" spans="2:4">
      <c r="B46" s="84">
        <v>2057</v>
      </c>
      <c r="C46" s="85"/>
      <c r="D46" s="87">
        <v>0.13</v>
      </c>
    </row>
    <row r="47" spans="2:4">
      <c r="B47" s="84">
        <v>2058</v>
      </c>
      <c r="C47" s="85"/>
      <c r="D47" s="87">
        <v>0.13</v>
      </c>
    </row>
    <row r="48" spans="2:4">
      <c r="B48" s="84">
        <v>2059</v>
      </c>
      <c r="C48" s="85"/>
      <c r="D48" s="87">
        <v>0.13</v>
      </c>
    </row>
    <row r="49" spans="2:4">
      <c r="B49" s="84">
        <v>2060</v>
      </c>
      <c r="C49" s="85"/>
      <c r="D49" s="87">
        <v>0.13</v>
      </c>
    </row>
  </sheetData>
  <sheetProtection sheet="1" selectLockedCells="1" selectUnlockedCells="1"/>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2"/>
  </sheetPr>
  <dimension ref="A1:N7"/>
  <sheetViews>
    <sheetView showGridLines="0" zoomScaleNormal="100" workbookViewId="0">
      <selection activeCell="H25" sqref="H25"/>
    </sheetView>
  </sheetViews>
  <sheetFormatPr defaultColWidth="8.6328125" defaultRowHeight="13"/>
  <cols>
    <col min="1" max="1" width="8.6328125" style="8"/>
    <col min="2" max="2" width="7.81640625" style="8" customWidth="1"/>
    <col min="3" max="3" width="1.36328125" style="8" customWidth="1"/>
    <col min="4" max="4" width="20.6328125" style="8" customWidth="1"/>
    <col min="5" max="16384" width="8.6328125" style="8"/>
  </cols>
  <sheetData>
    <row r="1" spans="1:14" ht="13" customHeight="1">
      <c r="A1" s="250" t="s">
        <v>216</v>
      </c>
      <c r="B1" s="250"/>
      <c r="C1" s="250"/>
      <c r="D1" s="250"/>
      <c r="E1" s="250"/>
      <c r="F1" s="250"/>
      <c r="G1" s="250"/>
      <c r="H1" s="250"/>
      <c r="I1" s="250"/>
      <c r="J1" s="250"/>
      <c r="K1" s="250"/>
      <c r="L1" s="250"/>
      <c r="M1" s="250"/>
      <c r="N1" s="250"/>
    </row>
    <row r="2" spans="1:14">
      <c r="A2" s="250"/>
      <c r="B2" s="250"/>
      <c r="C2" s="250"/>
      <c r="D2" s="250"/>
      <c r="E2" s="250"/>
      <c r="F2" s="250"/>
      <c r="G2" s="250"/>
      <c r="H2" s="250"/>
      <c r="I2" s="250"/>
      <c r="J2" s="250"/>
      <c r="K2" s="250"/>
      <c r="L2" s="250"/>
      <c r="M2" s="250"/>
      <c r="N2" s="250"/>
    </row>
    <row r="3" spans="1:14">
      <c r="A3" s="250"/>
      <c r="B3" s="250"/>
      <c r="C3" s="250"/>
      <c r="D3" s="250"/>
      <c r="E3" s="250"/>
      <c r="F3" s="250"/>
      <c r="G3" s="250"/>
      <c r="H3" s="250"/>
      <c r="I3" s="250"/>
      <c r="J3" s="250"/>
      <c r="K3" s="250"/>
      <c r="L3" s="250"/>
      <c r="M3" s="250"/>
      <c r="N3" s="250"/>
    </row>
    <row r="4" spans="1:14">
      <c r="A4" s="250"/>
      <c r="B4" s="250"/>
      <c r="C4" s="250"/>
      <c r="D4" s="250"/>
      <c r="E4" s="250"/>
      <c r="F4" s="250"/>
      <c r="G4" s="250"/>
      <c r="H4" s="250"/>
      <c r="I4" s="250"/>
      <c r="J4" s="250"/>
      <c r="K4" s="250"/>
      <c r="L4" s="250"/>
      <c r="M4" s="250"/>
      <c r="N4" s="250"/>
    </row>
    <row r="5" spans="1:14">
      <c r="A5" s="250"/>
      <c r="B5" s="250"/>
      <c r="C5" s="250"/>
      <c r="D5" s="250"/>
      <c r="E5" s="250"/>
      <c r="F5" s="250"/>
      <c r="G5" s="250"/>
      <c r="H5" s="250"/>
      <c r="I5" s="250"/>
      <c r="J5" s="250"/>
      <c r="K5" s="250"/>
      <c r="L5" s="250"/>
      <c r="M5" s="250"/>
      <c r="N5" s="250"/>
    </row>
    <row r="6" spans="1:14">
      <c r="A6" s="250"/>
      <c r="B6" s="250"/>
      <c r="C6" s="250"/>
      <c r="D6" s="250"/>
      <c r="E6" s="250"/>
      <c r="F6" s="250"/>
      <c r="G6" s="250"/>
      <c r="H6" s="250"/>
      <c r="I6" s="250"/>
      <c r="J6" s="250"/>
      <c r="K6" s="250"/>
      <c r="L6" s="250"/>
      <c r="M6" s="250"/>
      <c r="N6" s="250"/>
    </row>
    <row r="7" spans="1:14" ht="30.5" customHeight="1">
      <c r="A7" s="250"/>
      <c r="B7" s="250"/>
      <c r="C7" s="250"/>
      <c r="D7" s="250"/>
      <c r="E7" s="250"/>
      <c r="F7" s="250"/>
      <c r="G7" s="250"/>
      <c r="H7" s="250"/>
      <c r="I7" s="250"/>
      <c r="J7" s="250"/>
      <c r="K7" s="250"/>
      <c r="L7" s="250"/>
      <c r="M7" s="250"/>
      <c r="N7" s="250"/>
    </row>
  </sheetData>
  <sheetProtection sheet="1" selectLockedCells="1" selectUnlockedCells="1"/>
  <mergeCells count="1">
    <mergeCell ref="A1:N7"/>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4:L22"/>
  <sheetViews>
    <sheetView showGridLines="0" workbookViewId="0">
      <selection activeCell="G12" sqref="G12"/>
    </sheetView>
  </sheetViews>
  <sheetFormatPr defaultColWidth="8.6328125" defaultRowHeight="14.5"/>
  <cols>
    <col min="1" max="2" width="8.6328125" style="99"/>
    <col min="3" max="3" width="29.6328125" style="99" customWidth="1"/>
    <col min="4" max="4" width="1.36328125" style="99" customWidth="1"/>
    <col min="5" max="5" width="9.1796875" style="99" customWidth="1"/>
    <col min="6" max="6" width="1.36328125" style="99" customWidth="1"/>
    <col min="7" max="7" width="16.6328125" style="99" customWidth="1"/>
    <col min="8" max="8" width="1.36328125" style="99" customWidth="1"/>
    <col min="9" max="9" width="16.81640625" style="99" customWidth="1"/>
    <col min="10" max="10" width="1.36328125" style="99" customWidth="1"/>
    <col min="11" max="11" width="13.36328125" style="99" customWidth="1"/>
    <col min="12" max="16384" width="8.6328125" style="99"/>
  </cols>
  <sheetData>
    <row r="4" spans="3:12" ht="43.5">
      <c r="C4" s="115" t="s">
        <v>75</v>
      </c>
      <c r="D4" s="114"/>
      <c r="E4" s="115" t="s">
        <v>0</v>
      </c>
      <c r="F4" s="114"/>
      <c r="G4" s="113" t="s">
        <v>146</v>
      </c>
      <c r="H4" s="114"/>
      <c r="I4" s="113" t="s">
        <v>146</v>
      </c>
      <c r="J4" s="114"/>
      <c r="K4" s="113" t="s">
        <v>145</v>
      </c>
    </row>
    <row r="5" spans="3:12">
      <c r="C5" s="116" t="s">
        <v>144</v>
      </c>
      <c r="D5" s="106"/>
      <c r="E5" s="112"/>
      <c r="F5" s="105"/>
      <c r="G5" s="102">
        <v>2020</v>
      </c>
      <c r="H5" s="102"/>
      <c r="I5" s="102">
        <v>2025</v>
      </c>
      <c r="J5" s="102"/>
      <c r="K5" s="111">
        <v>2020</v>
      </c>
      <c r="L5" s="124"/>
    </row>
    <row r="6" spans="3:12">
      <c r="C6" s="117" t="s">
        <v>143</v>
      </c>
      <c r="D6" s="106"/>
      <c r="E6" s="125" t="s">
        <v>142</v>
      </c>
      <c r="F6" s="105"/>
      <c r="G6" s="107">
        <v>41000</v>
      </c>
      <c r="H6" s="102"/>
      <c r="I6" s="107">
        <v>35000</v>
      </c>
      <c r="J6" s="102"/>
      <c r="K6" s="107">
        <v>41000</v>
      </c>
      <c r="L6" s="124"/>
    </row>
    <row r="7" spans="3:12">
      <c r="C7" s="116" t="s">
        <v>141</v>
      </c>
      <c r="D7" s="106"/>
      <c r="E7" s="125" t="s">
        <v>28</v>
      </c>
      <c r="F7" s="105"/>
      <c r="G7" s="102">
        <v>24</v>
      </c>
      <c r="H7" s="102"/>
      <c r="I7" s="102">
        <v>24</v>
      </c>
      <c r="J7" s="102"/>
      <c r="K7" s="104">
        <v>24</v>
      </c>
      <c r="L7" s="124"/>
    </row>
    <row r="8" spans="3:12">
      <c r="C8" s="116" t="s">
        <v>140</v>
      </c>
      <c r="D8" s="106"/>
      <c r="E8" s="125" t="s">
        <v>68</v>
      </c>
      <c r="F8" s="105"/>
      <c r="G8" s="107">
        <v>20000</v>
      </c>
      <c r="H8" s="102"/>
      <c r="I8" s="107">
        <v>16000</v>
      </c>
      <c r="J8" s="102"/>
      <c r="K8" s="104"/>
      <c r="L8" s="124"/>
    </row>
    <row r="9" spans="3:12">
      <c r="C9" s="116" t="s">
        <v>126</v>
      </c>
      <c r="D9" s="106"/>
      <c r="E9" s="125"/>
      <c r="F9" s="105"/>
      <c r="G9" s="102">
        <v>13</v>
      </c>
      <c r="H9" s="102"/>
      <c r="I9" s="102">
        <v>13</v>
      </c>
      <c r="J9" s="102"/>
      <c r="K9" s="102">
        <v>13</v>
      </c>
      <c r="L9" s="124"/>
    </row>
    <row r="10" spans="3:12" ht="26.5">
      <c r="C10" s="118" t="s">
        <v>139</v>
      </c>
      <c r="D10" s="106"/>
      <c r="E10" s="125"/>
      <c r="F10" s="105"/>
      <c r="G10" s="110">
        <v>0.6</v>
      </c>
      <c r="H10" s="109"/>
      <c r="I10" s="110">
        <v>0.7</v>
      </c>
      <c r="J10" s="109"/>
      <c r="K10" s="108">
        <v>0.6</v>
      </c>
      <c r="L10" s="124"/>
    </row>
    <row r="11" spans="3:12">
      <c r="C11" s="117" t="s">
        <v>66</v>
      </c>
      <c r="D11" s="106"/>
      <c r="E11" s="125" t="s">
        <v>67</v>
      </c>
      <c r="F11" s="105"/>
      <c r="G11" s="102">
        <v>12</v>
      </c>
      <c r="H11" s="102"/>
      <c r="I11" s="102">
        <v>12</v>
      </c>
      <c r="J11" s="102"/>
      <c r="K11" s="102">
        <v>12</v>
      </c>
      <c r="L11" s="124"/>
    </row>
    <row r="12" spans="3:12">
      <c r="C12" s="117" t="s">
        <v>138</v>
      </c>
      <c r="D12" s="106"/>
      <c r="E12" s="125" t="s">
        <v>71</v>
      </c>
      <c r="F12" s="105"/>
      <c r="G12" s="107">
        <v>20000</v>
      </c>
      <c r="H12" s="102"/>
      <c r="I12" s="107">
        <v>12000</v>
      </c>
      <c r="J12" s="102"/>
      <c r="K12" s="107">
        <v>20000</v>
      </c>
      <c r="L12" s="124"/>
    </row>
    <row r="13" spans="3:12">
      <c r="C13" s="117" t="s">
        <v>125</v>
      </c>
      <c r="D13" s="106"/>
      <c r="E13" s="125" t="s">
        <v>15</v>
      </c>
      <c r="F13" s="105"/>
      <c r="G13" s="107">
        <v>64000</v>
      </c>
      <c r="H13" s="102"/>
      <c r="I13" s="107">
        <v>64000</v>
      </c>
      <c r="J13" s="102"/>
      <c r="K13" s="107">
        <v>64000</v>
      </c>
      <c r="L13" s="124"/>
    </row>
    <row r="14" spans="3:12">
      <c r="C14" s="117" t="s">
        <v>124</v>
      </c>
      <c r="D14" s="106"/>
      <c r="E14" s="125" t="s">
        <v>15</v>
      </c>
      <c r="F14" s="105"/>
      <c r="G14" s="107">
        <v>14000</v>
      </c>
      <c r="H14" s="102"/>
      <c r="I14" s="107">
        <v>14000</v>
      </c>
      <c r="J14" s="102"/>
      <c r="K14" s="107">
        <v>14000</v>
      </c>
      <c r="L14" s="124"/>
    </row>
    <row r="15" spans="3:12">
      <c r="C15" s="117" t="s">
        <v>137</v>
      </c>
      <c r="D15" s="106"/>
      <c r="E15" s="125" t="s">
        <v>69</v>
      </c>
      <c r="F15" s="105"/>
      <c r="G15" s="102">
        <v>4</v>
      </c>
      <c r="H15" s="102"/>
      <c r="I15" s="102">
        <v>4</v>
      </c>
      <c r="J15" s="102"/>
      <c r="K15" s="104">
        <v>4</v>
      </c>
      <c r="L15" s="124"/>
    </row>
    <row r="16" spans="3:12">
      <c r="C16" s="116" t="s">
        <v>70</v>
      </c>
      <c r="D16" s="103"/>
      <c r="E16" s="125"/>
      <c r="F16" s="103"/>
      <c r="G16" s="126">
        <v>4000</v>
      </c>
      <c r="H16" s="103"/>
      <c r="I16" s="126">
        <v>4000</v>
      </c>
      <c r="J16" s="103"/>
      <c r="K16" s="126">
        <v>4000</v>
      </c>
      <c r="L16" s="124"/>
    </row>
    <row r="17" spans="3:12">
      <c r="C17" s="117" t="s">
        <v>136</v>
      </c>
      <c r="D17" s="103"/>
      <c r="E17" s="125"/>
      <c r="F17" s="103"/>
      <c r="G17" s="103">
        <v>365</v>
      </c>
      <c r="H17" s="103"/>
      <c r="I17" s="103">
        <v>365</v>
      </c>
      <c r="J17" s="103"/>
      <c r="K17" s="104">
        <v>760</v>
      </c>
      <c r="L17" s="124"/>
    </row>
    <row r="18" spans="3:12">
      <c r="C18" s="119" t="s">
        <v>135</v>
      </c>
      <c r="D18" s="120"/>
      <c r="E18" s="127" t="s">
        <v>71</v>
      </c>
      <c r="F18" s="120"/>
      <c r="G18" s="122">
        <v>9.9600000000000009</v>
      </c>
      <c r="H18" s="122"/>
      <c r="I18" s="122">
        <v>7.77</v>
      </c>
      <c r="J18" s="122"/>
      <c r="K18" s="122">
        <v>12.49</v>
      </c>
      <c r="L18" s="124"/>
    </row>
    <row r="19" spans="3:12">
      <c r="D19" s="121"/>
      <c r="E19" s="121"/>
      <c r="F19" s="121"/>
      <c r="G19" s="123"/>
      <c r="H19" s="123"/>
      <c r="I19" s="123"/>
      <c r="J19" s="123"/>
      <c r="K19" s="123"/>
      <c r="L19" s="124"/>
    </row>
    <row r="20" spans="3:12">
      <c r="D20" s="121"/>
      <c r="F20" s="121"/>
      <c r="G20" s="101"/>
      <c r="H20" s="123"/>
      <c r="I20" s="101"/>
      <c r="J20" s="123"/>
      <c r="K20" s="101"/>
    </row>
    <row r="21" spans="3:12">
      <c r="D21" s="121"/>
      <c r="G21" s="101"/>
      <c r="H21" s="123"/>
      <c r="I21" s="101"/>
      <c r="J21" s="101"/>
      <c r="K21" s="101"/>
    </row>
    <row r="22" spans="3:12">
      <c r="G22" s="100"/>
      <c r="H22" s="100"/>
      <c r="I22" s="100"/>
      <c r="J22" s="100"/>
      <c r="K22" s="100"/>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98</vt:i4>
      </vt:variant>
    </vt:vector>
  </HeadingPairs>
  <TitlesOfParts>
    <vt:vector size="109" baseType="lpstr">
      <vt:lpstr>Title sheet</vt:lpstr>
      <vt:lpstr>How to use</vt:lpstr>
      <vt:lpstr>RE Inputs &amp; Results</vt:lpstr>
      <vt:lpstr>RE LCOE calc</vt:lpstr>
      <vt:lpstr>Reference values</vt:lpstr>
      <vt:lpstr>Storage Inputs &amp; Results</vt:lpstr>
      <vt:lpstr>LCOS calc</vt:lpstr>
      <vt:lpstr>Storage charging cost</vt:lpstr>
      <vt:lpstr>Cost projections</vt:lpstr>
      <vt:lpstr>Storage references</vt:lpstr>
      <vt:lpstr>Results</vt:lpstr>
      <vt:lpstr>Annual_depreciation_aftern1gross</vt:lpstr>
      <vt:lpstr>Annual_depreciation_aftern1net</vt:lpstr>
      <vt:lpstr>Annual_depreciation_n1yearsgross</vt:lpstr>
      <vt:lpstr>Annual_depreciation_n1yearsnet</vt:lpstr>
      <vt:lpstr>Aux_consumption</vt:lpstr>
      <vt:lpstr>Bio_calorificvalue</vt:lpstr>
      <vt:lpstr>Bio_fuelconsumption_kgperkWh</vt:lpstr>
      <vt:lpstr>Bio_fuelcost</vt:lpstr>
      <vt:lpstr>Bio_fuelcost_escalation</vt:lpstr>
      <vt:lpstr>Bio_stationheatrate</vt:lpstr>
      <vt:lpstr>Bio_workingcapital_fuel</vt:lpstr>
      <vt:lpstr>Capex_perkW</vt:lpstr>
      <vt:lpstr>Capitalsubsidy_perkW</vt:lpstr>
      <vt:lpstr>CUF</vt:lpstr>
      <vt:lpstr>Debt</vt:lpstr>
      <vt:lpstr>Depreciation_on_capexpercentage</vt:lpstr>
      <vt:lpstr>Depreciationrate_n1years</vt:lpstr>
      <vt:lpstr>Discount_rate</vt:lpstr>
      <vt:lpstr>Equity</vt:lpstr>
      <vt:lpstr>Equity_percentage</vt:lpstr>
      <vt:lpstr>Grid_availability</vt:lpstr>
      <vt:lpstr>Gross_capex</vt:lpstr>
      <vt:lpstr>Insurance</vt:lpstr>
      <vt:lpstr>Interest</vt:lpstr>
      <vt:lpstr>Interest_working_capital</vt:lpstr>
      <vt:lpstr>LCOE</vt:lpstr>
      <vt:lpstr>LCOS</vt:lpstr>
      <vt:lpstr>Loan_tenure</vt:lpstr>
      <vt:lpstr>Moratorium</vt:lpstr>
      <vt:lpstr>n1_years</vt:lpstr>
      <vt:lpstr>Net_capex</vt:lpstr>
      <vt:lpstr>OandM_escalation</vt:lpstr>
      <vt:lpstr>OandM_year1</vt:lpstr>
      <vt:lpstr>Plant_life</vt:lpstr>
      <vt:lpstr>'Title sheet'!Print_Area</vt:lpstr>
      <vt:lpstr>ROE</vt:lpstr>
      <vt:lpstr>SolarPV_capex_perkW</vt:lpstr>
      <vt:lpstr>SolarPV_capitalsubsidy_perkW</vt:lpstr>
      <vt:lpstr>SolarPV_CUF</vt:lpstr>
      <vt:lpstr>SolarPV_degradation</vt:lpstr>
      <vt:lpstr>SolarPV_OandM_year1</vt:lpstr>
      <vt:lpstr>SolarPV_plant_life</vt:lpstr>
      <vt:lpstr>SolarPV_size</vt:lpstr>
      <vt:lpstr>Storage_annual_cycles</vt:lpstr>
      <vt:lpstr>Storage_annual_depreciation</vt:lpstr>
      <vt:lpstr>Storage_base_year</vt:lpstr>
      <vt:lpstr>Storage_capacity</vt:lpstr>
      <vt:lpstr>Storage_capitalsubsidy_percentage</vt:lpstr>
      <vt:lpstr>Storage_charging_cost</vt:lpstr>
      <vt:lpstr>Storage_charging_source</vt:lpstr>
      <vt:lpstr>Storage_chargingcost_escalation</vt:lpstr>
      <vt:lpstr>Storage_current_year</vt:lpstr>
      <vt:lpstr>Storage_cycle_degradation</vt:lpstr>
      <vt:lpstr>Storage_debt</vt:lpstr>
      <vt:lpstr>Storage_depreciation_on_capexpercentage</vt:lpstr>
      <vt:lpstr>Storage_depreciationrate_inverter</vt:lpstr>
      <vt:lpstr>Storage_depreciationrate_solarPV</vt:lpstr>
      <vt:lpstr>Storage_depreciationrate_storage</vt:lpstr>
      <vt:lpstr>Storage_discount_rate</vt:lpstr>
      <vt:lpstr>Storage_DoD</vt:lpstr>
      <vt:lpstr>Storage_duration</vt:lpstr>
      <vt:lpstr>Storage_endoflife_capacity</vt:lpstr>
      <vt:lpstr>Storage_EPC_capexperkW</vt:lpstr>
      <vt:lpstr>Storage_equity</vt:lpstr>
      <vt:lpstr>Storage_equity_percentage</vt:lpstr>
      <vt:lpstr>Storage_excess_solar</vt:lpstr>
      <vt:lpstr>Storage_insurance</vt:lpstr>
      <vt:lpstr>Storage_interest</vt:lpstr>
      <vt:lpstr>Storage_interest_workingcap</vt:lpstr>
      <vt:lpstr>Storage_inverter_capacity</vt:lpstr>
      <vt:lpstr>Storage_inverter_costimprovement</vt:lpstr>
      <vt:lpstr>Storage_inverter_replacementyear</vt:lpstr>
      <vt:lpstr>Storage_invertercapex_perkW</vt:lpstr>
      <vt:lpstr>Storage_life</vt:lpstr>
      <vt:lpstr>Storage_life_cycles</vt:lpstr>
      <vt:lpstr>Storage_loan_tenure</vt:lpstr>
      <vt:lpstr>Storage_module_capexperkWh</vt:lpstr>
      <vt:lpstr>Storage_modulecapexperkWh_current</vt:lpstr>
      <vt:lpstr>Storage_moratorium</vt:lpstr>
      <vt:lpstr>Storage_net_capex</vt:lpstr>
      <vt:lpstr>Storage_OandM_escalation</vt:lpstr>
      <vt:lpstr>Storage_OandMpower_year1</vt:lpstr>
      <vt:lpstr>Storage_OndMenergy_year1</vt:lpstr>
      <vt:lpstr>Storage_power_capacity</vt:lpstr>
      <vt:lpstr>Storage_rack_capexperkW</vt:lpstr>
      <vt:lpstr>Storage_ROE</vt:lpstr>
      <vt:lpstr>Storage_roundtripefficiency</vt:lpstr>
      <vt:lpstr>Storage_shelf_life</vt:lpstr>
      <vt:lpstr>Storage_solarPV_degradation</vt:lpstr>
      <vt:lpstr>Storage_technology</vt:lpstr>
      <vt:lpstr>Storage_time_degradation</vt:lpstr>
      <vt:lpstr>Storage_workingcapital_OandM</vt:lpstr>
      <vt:lpstr>Storage_workingcapital_receivables</vt:lpstr>
      <vt:lpstr>System_size</vt:lpstr>
      <vt:lpstr>Technology</vt:lpstr>
      <vt:lpstr>Workingcapital_OandM</vt:lpstr>
      <vt:lpstr>Workingcapital_receivables</vt:lpstr>
      <vt:lpstr>Workingcapital_spares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Auroville Consulting</dc:title>
  <dc:subject>Solar PV Financials</dc:subject>
  <dc:creator>Toine van Megen</dc:creator>
  <cp:keywords>solar, financials, LCOE</cp:keywords>
  <cp:lastModifiedBy>Shiv V</cp:lastModifiedBy>
  <cp:lastPrinted>2019-04-13T12:44:13Z</cp:lastPrinted>
  <dcterms:created xsi:type="dcterms:W3CDTF">2012-11-22T04:20:01Z</dcterms:created>
  <dcterms:modified xsi:type="dcterms:W3CDTF">2020-10-15T10:27:33Z</dcterms:modified>
</cp:coreProperties>
</file>